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BF9D42D2-AAC9-43DB-8D75-3769AAFFFD3C}" xr6:coauthVersionLast="47" xr6:coauthVersionMax="47" xr10:uidLastSave="{00000000-0000-0000-0000-000000000000}"/>
  <bookViews>
    <workbookView xWindow="4428" yWindow="1716" windowWidth="17280" windowHeight="8964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Reporte!$A$1:$I$103</definedName>
    <definedName name="GranX">_DATOS!$A$3:$A$23</definedName>
    <definedName name="GranY">_DATOS!$B$3:$B$23</definedName>
  </definedNames>
  <calcPr calcId="191029"/>
</workbook>
</file>

<file path=xl/calcChain.xml><?xml version="1.0" encoding="utf-8"?>
<calcChain xmlns="http://schemas.openxmlformats.org/spreadsheetml/2006/main">
  <c r="C47" i="1" l="1"/>
  <c r="D47" i="1" s="1"/>
  <c r="E47" i="1" s="1"/>
  <c r="F47" i="1" s="1"/>
  <c r="D46" i="1"/>
  <c r="C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E25" i="1" s="1"/>
  <c r="F19" i="1"/>
  <c r="B19" i="1"/>
  <c r="F18" i="1"/>
  <c r="B18" i="1"/>
  <c r="F25" i="1" l="1"/>
  <c r="B3" i="2" s="1"/>
  <c r="E26" i="1"/>
  <c r="E27" i="1" l="1"/>
  <c r="F26" i="1"/>
  <c r="B4" i="2" s="1"/>
  <c r="F27" i="1" l="1"/>
  <c r="B5" i="2" s="1"/>
  <c r="E28" i="1"/>
  <c r="F28" i="1" l="1"/>
  <c r="B6" i="2" s="1"/>
  <c r="E29" i="1"/>
  <c r="E30" i="1" l="1"/>
  <c r="F29" i="1"/>
  <c r="B7" i="2" s="1"/>
  <c r="E31" i="1" l="1"/>
  <c r="F30" i="1"/>
  <c r="B8" i="2" s="1"/>
  <c r="F31" i="1" l="1"/>
  <c r="B9" i="2" s="1"/>
  <c r="E32" i="1"/>
  <c r="F32" i="1" l="1"/>
  <c r="B10" i="2" s="1"/>
  <c r="E33" i="1"/>
  <c r="E34" i="1" l="1"/>
  <c r="F33" i="1"/>
  <c r="B11" i="2" s="1"/>
  <c r="B50" i="1" l="1"/>
  <c r="E35" i="1"/>
  <c r="F34" i="1"/>
  <c r="B12" i="2" l="1"/>
  <c r="F35" i="1"/>
  <c r="B13" i="2" s="1"/>
  <c r="E36" i="1"/>
  <c r="F36" i="1" l="1"/>
  <c r="B14" i="2" s="1"/>
  <c r="E37" i="1"/>
  <c r="E38" i="1" l="1"/>
  <c r="F37" i="1"/>
  <c r="B15" i="2" s="1"/>
  <c r="E39" i="1" l="1"/>
  <c r="F38" i="1"/>
  <c r="B16" i="2" s="1"/>
  <c r="F39" i="1" l="1"/>
  <c r="B17" i="2" s="1"/>
  <c r="E40" i="1"/>
  <c r="F40" i="1" l="1"/>
  <c r="B18" i="2" s="1"/>
  <c r="E41" i="1"/>
  <c r="E42" i="1" l="1"/>
  <c r="F41" i="1"/>
  <c r="B19" i="2" s="1"/>
  <c r="E43" i="1" l="1"/>
  <c r="F42" i="1"/>
  <c r="B20" i="2" s="1"/>
  <c r="F43" i="1" l="1"/>
  <c r="B21" i="2" s="1"/>
  <c r="E44" i="1"/>
  <c r="F44" i="1" l="1"/>
  <c r="B22" i="2" s="1"/>
  <c r="E45" i="1"/>
  <c r="F45" i="1" l="1"/>
  <c r="E46" i="1"/>
  <c r="F46" i="1" s="1"/>
  <c r="B51" i="1"/>
  <c r="B23" i="2" l="1"/>
  <c r="G50" i="1"/>
  <c r="D50" i="1"/>
</calcChain>
</file>

<file path=xl/sharedStrings.xml><?xml version="1.0" encoding="utf-8"?>
<sst xmlns="http://schemas.openxmlformats.org/spreadsheetml/2006/main" count="296" uniqueCount="225">
  <si>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</si>
  <si>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</si>
  <si>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</si>
  <si>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</si>
  <si>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</si>
  <si>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</si>
  <si>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</si>
  <si>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</si>
  <si>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</si>
  <si>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</si>
  <si>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</si>
  <si>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</si>
  <si>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</si>
  <si>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</si>
  <si>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</si>
  <si>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</si>
  <si>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</si>
  <si>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</si>
  <si>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</si>
  <si>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</si>
  <si>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</si>
  <si>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</si>
  <si>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</si>
  <si>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</si>
  <si>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ANÁLISIS GRANULOMÉTRICO POR TAMIZADO - MTC E 107</t>
  </si>
  <si>
    <t>PESO TOTAL (g)</t>
  </si>
  <si>
    <t>PESO FRAC. FINA TAMIZADA (g)</t>
  </si>
  <si>
    <t>PESO FRACCIÓN GRUESA (g)</t>
  </si>
  <si>
    <t>PESO MUESTRA LAVADA (g)</t>
  </si>
  <si>
    <t>PESO FRACCIÓN FINA (g)</t>
  </si>
  <si>
    <t>COEFICIENTE</t>
  </si>
  <si>
    <t>LÍMITE LÍQUIDO (%)</t>
  </si>
  <si>
    <t>ÍNDICE DE PLASTICIDAD (%)</t>
  </si>
  <si>
    <t>GRADACIÓN</t>
  </si>
  <si>
    <t>TAMIZADO</t>
  </si>
  <si>
    <t>Tamiz</t>
  </si>
  <si>
    <t>mm</t>
  </si>
  <si>
    <t>Masa (g)</t>
  </si>
  <si>
    <t>% Ret Parcial</t>
  </si>
  <si>
    <t>% Ret Acum.</t>
  </si>
  <si>
    <t>% que Pasa</t>
  </si>
  <si>
    <t>3"</t>
  </si>
  <si>
    <t>2 1/2"</t>
  </si>
  <si>
    <t>2"</t>
  </si>
  <si>
    <t>1 1/2"</t>
  </si>
  <si>
    <t>1"</t>
  </si>
  <si>
    <t>3/4"</t>
  </si>
  <si>
    <t>1/2"</t>
  </si>
  <si>
    <t>3/8"</t>
  </si>
  <si>
    <t>1/4"</t>
  </si>
  <si>
    <t>N° 4</t>
  </si>
  <si>
    <t>N° 8</t>
  </si>
  <si>
    <t>N° 10</t>
  </si>
  <si>
    <t>N° 16</t>
  </si>
  <si>
    <t>N° 20</t>
  </si>
  <si>
    <t>N° 30</t>
  </si>
  <si>
    <t>N° 40</t>
  </si>
  <si>
    <t>N° 50</t>
  </si>
  <si>
    <t>N° 60</t>
  </si>
  <si>
    <t>N° 100</t>
  </si>
  <si>
    <t>N° 140</t>
  </si>
  <si>
    <t>N° 200</t>
  </si>
  <si>
    <t>&lt; N° 200</t>
  </si>
  <si>
    <t>Total</t>
  </si>
  <si>
    <t>RESULTADOS</t>
  </si>
  <si>
    <t>% GRAVA</t>
  </si>
  <si>
    <t>% ARENA</t>
  </si>
  <si>
    <t>% FINOS</t>
  </si>
  <si>
    <t>TMN</t>
  </si>
  <si>
    <t>CLASIFICACIÓN SUCS (REFERENCIA)</t>
  </si>
  <si>
    <t>SUCS</t>
  </si>
  <si>
    <t>Descripción</t>
  </si>
  <si>
    <t>GW</t>
  </si>
  <si>
    <t>Gravas bien graduadas, mezclas grava-arena, pocos finos o sin finos.</t>
  </si>
  <si>
    <t>GP</t>
  </si>
  <si>
    <t>Gravas mal graduadas, mezclas grava-arena, pocos finos o sin finos.</t>
  </si>
  <si>
    <t>GM</t>
  </si>
  <si>
    <t>Gravas limosas, mezclas grava-arena-limo.</t>
  </si>
  <si>
    <t>GC</t>
  </si>
  <si>
    <t>Gravas arcillosas, mezclas grava-arena-arcilla.</t>
  </si>
  <si>
    <t>SW</t>
  </si>
  <si>
    <t>Arenas bien graduadas, arenas con grava, pocos finos o sin finos.</t>
  </si>
  <si>
    <t>SP</t>
  </si>
  <si>
    <t>Arenas mal graduadas, arenas con grava, pocos finos o sin finos.</t>
  </si>
  <si>
    <t>SM</t>
  </si>
  <si>
    <t>Arenas limosas, mezclas de arena y limo.</t>
  </si>
  <si>
    <t>SC</t>
  </si>
  <si>
    <t>Arenas arcillosas, mezclas de arena y arcilla.</t>
  </si>
  <si>
    <t>ML</t>
  </si>
  <si>
    <t>Limos inorgánicos y arenas muy finas, limos limpios, arenas finas, limosas o arcillosas.</t>
  </si>
  <si>
    <t>CL</t>
  </si>
  <si>
    <t>Arcillas inorgánicas de plasticidad baja a media, arcillas con grava, arcillas arenosas.</t>
  </si>
  <si>
    <t>OL</t>
  </si>
  <si>
    <t>Limos orgánicos y arcillas orgánicas limosas de baja plasticidad.</t>
  </si>
  <si>
    <t>MH</t>
  </si>
  <si>
    <t>Limos inorgánicos, suelos arenosos finos o limosos con mica o diatomeas.</t>
  </si>
  <si>
    <t>CH</t>
  </si>
  <si>
    <t>Arcillas inorgánicas de plasticidad alta.</t>
  </si>
  <si>
    <t>OH</t>
  </si>
  <si>
    <t>Arcillas orgánicas de plasticidad media a alta.</t>
  </si>
  <si>
    <t>CURVA GRANULOMÉTRICA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</si>
  <si>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</si>
  <si>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</si>
  <si>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</si>
  <si>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</si>
  <si>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</si>
  <si>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</si>
  <si>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</si>
  <si>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</si>
  <si>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</si>
  <si>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</si>
  <si>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</si>
  <si>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</si>
  <si>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</si>
  <si>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</si>
  <si>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</si>
  <si>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</si>
  <si>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</si>
  <si>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</si>
  <si>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</si>
  <si>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</si>
  <si>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</si>
  <si>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</si>
  <si>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curva_granulometrica</t>
  </si>
  <si>
    <t>Curva Granulométrica</t>
  </si>
  <si>
    <t>xy</t>
  </si>
  <si>
    <t>A71</t>
  </si>
  <si>
    <t>SI</t>
  </si>
  <si>
    <t>Abertura de Tamiz (mm)</t>
  </si>
  <si>
    <t>linea_suave</t>
  </si>
  <si>
    <t>'_DATOS'!$A$3:$A$23</t>
  </si>
  <si>
    <t>'_DATOS'!$B$3:$B$23</t>
  </si>
  <si>
    <t>1E40AF</t>
  </si>
  <si>
    <t>Tamices</t>
  </si>
  <si>
    <t>marcador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</si>
  <si>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</si>
  <si>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</si>
  <si>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</si>
  <si>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</si>
  <si>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</si>
  <si>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</si>
  <si>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</si>
  <si>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</si>
  <si>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</si>
  <si>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</si>
  <si>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</si>
  <si>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</si>
  <si>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</si>
  <si>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</si>
  <si>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</si>
  <si>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</si>
  <si>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</si>
  <si>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</si>
  <si>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</si>
  <si>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</si>
  <si>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</si>
  <si>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</si>
  <si>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</si>
  <si>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</si>
  <si>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</si>
  <si>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</si>
  <si>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</si>
  <si>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</si>
  <si>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</si>
  <si>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</si>
  <si>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</si>
  <si>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</si>
  <si>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</si>
  <si>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</si>
  <si>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</si>
  <si>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</si>
  <si>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</si>
  <si>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</si>
  <si>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datos.general_fields.peso_total</t>
  </si>
  <si>
    <t>B17</t>
  </si>
  <si>
    <t>datos.general_fields.peso_fina_tamizada</t>
  </si>
  <si>
    <t>F17</t>
  </si>
  <si>
    <t>datos.general_fields.limite_liquido</t>
  </si>
  <si>
    <t>B20</t>
  </si>
  <si>
    <t>datos.general_fields.indice_plasticidad</t>
  </si>
  <si>
    <t>F20</t>
  </si>
  <si>
    <t>datos.general_fields.gradacion</t>
  </si>
  <si>
    <t>B21</t>
  </si>
  <si>
    <t>datos.tables.granulometria.malla_3p.retenido</t>
  </si>
  <si>
    <t>C25</t>
  </si>
  <si>
    <t>datos.tables.granulometria.malla_2p5.retenido</t>
  </si>
  <si>
    <t>C26</t>
  </si>
  <si>
    <t>datos.tables.granulometria.malla_2p.retenido</t>
  </si>
  <si>
    <t>C27</t>
  </si>
  <si>
    <t>datos.tables.granulometria.malla_1p5.retenido</t>
  </si>
  <si>
    <t>C28</t>
  </si>
  <si>
    <t>datos.tables.granulometria.malla_1p.retenido</t>
  </si>
  <si>
    <t>C29</t>
  </si>
  <si>
    <t>datos.tables.granulometria.malla_3p4.retenido</t>
  </si>
  <si>
    <t>C30</t>
  </si>
  <si>
    <t>datos.tables.granulometria.malla_1p2.retenido</t>
  </si>
  <si>
    <t>C31</t>
  </si>
  <si>
    <t>datos.tables.granulometria.malla_3p8.retenido</t>
  </si>
  <si>
    <t>C32</t>
  </si>
  <si>
    <t>datos.tables.granulometria.malla_1p4.retenido</t>
  </si>
  <si>
    <t>C33</t>
  </si>
  <si>
    <t>datos.tables.granulometria.malla_04.retenido</t>
  </si>
  <si>
    <t>C34</t>
  </si>
  <si>
    <t>datos.tables.granulometria.malla_08.retenido</t>
  </si>
  <si>
    <t>C35</t>
  </si>
  <si>
    <t>datos.tables.granulometria.malla_10.retenido</t>
  </si>
  <si>
    <t>C36</t>
  </si>
  <si>
    <t>datos.tables.granulometria.malla_16.retenido</t>
  </si>
  <si>
    <t>C37</t>
  </si>
  <si>
    <t>datos.tables.granulometria.malla_20.retenido</t>
  </si>
  <si>
    <t>C38</t>
  </si>
  <si>
    <t>datos.tables.granulometria.malla_30.retenido</t>
  </si>
  <si>
    <t>C39</t>
  </si>
  <si>
    <t>datos.tables.granulometria.malla_40.retenido</t>
  </si>
  <si>
    <t>C40</t>
  </si>
  <si>
    <t>datos.tables.granulometria.malla_50.retenido</t>
  </si>
  <si>
    <t>C41</t>
  </si>
  <si>
    <t>datos.tables.granulometria.malla_60.retenido</t>
  </si>
  <si>
    <t>C42</t>
  </si>
  <si>
    <t>datos.tables.granulometria.malla_100.retenido</t>
  </si>
  <si>
    <t>C43</t>
  </si>
  <si>
    <t>datos.tables.granulometria.malla_140.retenido</t>
  </si>
  <si>
    <t>C44</t>
  </si>
  <si>
    <t>datos.tables.granulometria.malla_200.retenido</t>
  </si>
  <si>
    <t>C45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</si>
</sst>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&quot; %&quot;"/>
  </numFmts>
  <fonts count="16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11"/>
      <color rgb="FF111827"/>
      <name val="Calibri"/>
    </font>
    <font>
      <sz val="9"/>
      <color rgb="FF1D4ED8"/>
      <name val="Calibri"/>
    </font>
    <font>
      <b/>
      <sz val="9"/>
      <color rgb="FFFFFFFF"/>
      <name val="Calibri"/>
    </font>
    <font>
      <sz val="8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3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166" fontId="12" fillId="7" borderId="0" xfId="0" applyNumberFormat="1" applyFont="1" applyFill="1"/>
    <xf numFmtId="2" fontId="12" fillId="7" borderId="0" xfId="0" applyNumberFormat="1" applyFont="1" applyFill="1"/>
    <xf numFmtId="167" fontId="11" fillId="4" borderId="1" xfId="0" applyNumberFormat="1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164" fontId="12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167" fontId="11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7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t>Curva Granulométrica — % que Pasa vs Abertura de Tamiz (mm, 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Curva Granulométrica</c:v>
          </c:tx>
          <c:spPr>
            <a:ln w="24000">
              <a:solidFill>
                <a:srgbClr val="1E40AF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1E40AF"/>
              </a:solidFill>
              <a:ln>
                <a:prstDash val="solid"/>
              </a:ln>
            </c:spPr>
          </c:marker>
          <c:xVal>
            <c:numRef>
              <c:f>_DATOS!$A$3:$A$23</c:f>
              <c:numCache>
                <c:formatCode>General</c:formatCode>
                <c:ptCount val="21"/>
                <c:pt idx="0">
                  <c:v>75</c:v>
                </c:pt>
                <c:pt idx="1">
                  <c:v>62.9</c:v>
                </c:pt>
                <c:pt idx="2">
                  <c:v>50.8</c:v>
                </c:pt>
                <c:pt idx="3">
                  <c:v>38.1</c:v>
                </c:pt>
                <c:pt idx="4">
                  <c:v>25.4</c:v>
                </c:pt>
                <c:pt idx="5">
                  <c:v>19</c:v>
                </c:pt>
                <c:pt idx="6">
                  <c:v>12.7</c:v>
                </c:pt>
                <c:pt idx="7">
                  <c:v>9.5</c:v>
                </c:pt>
                <c:pt idx="8">
                  <c:v>6.3</c:v>
                </c:pt>
                <c:pt idx="9">
                  <c:v>4.76</c:v>
                </c:pt>
                <c:pt idx="10">
                  <c:v>2.36</c:v>
                </c:pt>
                <c:pt idx="11">
                  <c:v>2</c:v>
                </c:pt>
                <c:pt idx="12">
                  <c:v>1.1000000000000001</c:v>
                </c:pt>
                <c:pt idx="13">
                  <c:v>0.85</c:v>
                </c:pt>
                <c:pt idx="14">
                  <c:v>0.59</c:v>
                </c:pt>
                <c:pt idx="15">
                  <c:v>0.42499999999999999</c:v>
                </c:pt>
                <c:pt idx="16">
                  <c:v>0.29699999999999999</c:v>
                </c:pt>
                <c:pt idx="17">
                  <c:v>0.25</c:v>
                </c:pt>
                <c:pt idx="18">
                  <c:v>0.14899999999999999</c:v>
                </c:pt>
                <c:pt idx="19">
                  <c:v>0.106</c:v>
                </c:pt>
                <c:pt idx="20">
                  <c:v>7.4999999999999997E-2</c:v>
                </c:pt>
              </c:numCache>
            </c:numRef>
          </c:xVal>
          <c:yVal>
            <c:numRef>
              <c:f>_DATOS!$B$3:$B$23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D8-400D-87D9-EAD7231A4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100"/>
          <c:min val="0.01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70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102"/>
  <sheetViews>
    <sheetView showGridLines="0" tabSelected="1" workbookViewId="0"/>
  </sheetViews>
  <sheetFormatPr baseColWidth="10" defaultColWidth="8.88671875" defaultRowHeight="14.4" x14ac:dyDescent="0.3"/>
  <cols>
    <col min="1" max="1" width="26" customWidth="1"/>
    <col min="2" max="2" width="10" customWidth="1"/>
    <col min="3" max="3" width="13" customWidth="1"/>
    <col min="4" max="9" width="11" customWidth="1"/>
  </cols>
  <sheetData>
    <row r="1" spans="1:9" ht="19.95" customHeight="1" x14ac:dyDescent="0.3">
      <c r="C1" s="29" t="s">
        <v>0</v>
      </c>
      <c r="D1" s="18"/>
      <c r="E1" s="18"/>
      <c r="F1" s="18"/>
      <c r="G1" s="18"/>
    </row>
    <row r="2" spans="1:9" ht="15" customHeight="1" x14ac:dyDescent="0.3">
      <c r="C2" s="21" t="s">
        <v>1</v>
      </c>
      <c r="D2" s="18"/>
      <c r="E2" s="18"/>
      <c r="F2" s="18"/>
      <c r="G2" s="18"/>
    </row>
    <row r="3" spans="1:9" ht="12" customHeight="1" x14ac:dyDescent="0.3">
      <c r="C3" s="22" t="s">
        <v>2</v>
      </c>
      <c r="D3" s="18"/>
      <c r="E3" s="18"/>
      <c r="F3" s="18"/>
      <c r="G3" s="18"/>
    </row>
    <row r="4" spans="1:9" ht="12" customHeight="1" x14ac:dyDescent="0.3">
      <c r="C4" s="22" t="s">
        <v>3</v>
      </c>
      <c r="D4" s="18"/>
      <c r="E4" s="18"/>
      <c r="F4" s="18"/>
      <c r="G4" s="18"/>
    </row>
    <row r="5" spans="1:9" ht="13.95" customHeight="1" x14ac:dyDescent="0.3">
      <c r="C5" s="21" t="s">
        <v>4</v>
      </c>
      <c r="D5" s="18"/>
      <c r="E5" s="18"/>
      <c r="F5" s="18"/>
      <c r="G5" s="18"/>
    </row>
    <row r="6" spans="1:9" ht="12" customHeight="1" x14ac:dyDescent="0.3">
      <c r="C6" s="17" t="s">
        <v>5</v>
      </c>
      <c r="D6" s="18"/>
      <c r="E6" s="18"/>
      <c r="F6" s="18"/>
      <c r="G6" s="18"/>
    </row>
    <row r="7" spans="1:9" ht="4.05" customHeight="1" x14ac:dyDescent="0.3"/>
    <row r="8" spans="1:9" ht="19.95" customHeight="1" x14ac:dyDescent="0.3">
      <c r="A8" s="12" t="s">
        <v>6</v>
      </c>
      <c r="B8" s="33"/>
      <c r="C8" s="27"/>
      <c r="D8" s="27"/>
      <c r="E8" s="27"/>
      <c r="F8" s="27"/>
      <c r="G8" s="27"/>
      <c r="H8" s="27"/>
      <c r="I8" s="27"/>
    </row>
    <row r="9" spans="1:9" ht="6" customHeight="1" x14ac:dyDescent="0.3"/>
    <row r="10" spans="1:9" ht="19.95" customHeight="1" x14ac:dyDescent="0.3">
      <c r="A10" s="1" t="s">
        <v>7</v>
      </c>
      <c r="B10" s="25"/>
      <c r="C10" s="25"/>
      <c r="D10" s="25"/>
      <c r="E10" s="25"/>
      <c r="F10" s="25"/>
      <c r="G10" s="25"/>
      <c r="H10" s="25"/>
      <c r="I10" s="25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37"/>
      <c r="C12" s="38"/>
      <c r="D12" s="38"/>
      <c r="E12" s="13" t="s">
        <v>14</v>
      </c>
      <c r="F12" s="14"/>
      <c r="G12" s="34"/>
      <c r="H12" s="18"/>
      <c r="I12" s="18"/>
    </row>
    <row r="13" spans="1:9" ht="19.95" customHeight="1" x14ac:dyDescent="0.3">
      <c r="A13" s="1" t="s">
        <v>15</v>
      </c>
      <c r="B13" s="1" t="s">
        <v>16</v>
      </c>
      <c r="C13" s="35"/>
      <c r="D13" s="18"/>
      <c r="E13" s="1" t="s">
        <v>17</v>
      </c>
      <c r="F13" s="35"/>
      <c r="G13" s="18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4"/>
      <c r="D14" s="1" t="s">
        <v>21</v>
      </c>
      <c r="E14" s="4"/>
      <c r="F14" s="1" t="s">
        <v>22</v>
      </c>
      <c r="G14" s="4"/>
      <c r="H14" s="1" t="s">
        <v>23</v>
      </c>
      <c r="I14" s="4"/>
    </row>
    <row r="15" spans="1:9" ht="6" customHeight="1" x14ac:dyDescent="0.3"/>
    <row r="16" spans="1:9" x14ac:dyDescent="0.3">
      <c r="A16" s="31" t="s">
        <v>24</v>
      </c>
      <c r="B16" s="32"/>
      <c r="C16" s="32"/>
      <c r="D16" s="32"/>
      <c r="E16" s="32"/>
      <c r="F16" s="32"/>
      <c r="G16" s="32"/>
      <c r="H16" s="32"/>
      <c r="I16" s="32"/>
    </row>
    <row r="17" spans="1:9" x14ac:dyDescent="0.3">
      <c r="A17" s="3" t="s">
        <v>25</v>
      </c>
      <c r="B17" s="30"/>
      <c r="C17" s="16"/>
      <c r="D17" s="13" t="s">
        <v>26</v>
      </c>
      <c r="E17" s="14"/>
      <c r="F17" s="30"/>
      <c r="G17" s="16"/>
    </row>
    <row r="18" spans="1:9" x14ac:dyDescent="0.3">
      <c r="A18" s="3" t="s">
        <v>27</v>
      </c>
      <c r="B18" s="23" t="str">
        <f>IF(N(B17)&gt;0,SUM(C25:C34),"")</f>
        <v/>
      </c>
      <c r="C18" s="20"/>
      <c r="D18" s="13" t="s">
        <v>28</v>
      </c>
      <c r="E18" s="14"/>
      <c r="F18" s="23" t="str">
        <f>IF(AND(N(B17)&gt;0,N(F17)&gt;0),B18+SUM(C35:C45)*B19/F17,"")</f>
        <v/>
      </c>
      <c r="G18" s="20"/>
    </row>
    <row r="19" spans="1:9" x14ac:dyDescent="0.3">
      <c r="A19" s="3" t="s">
        <v>29</v>
      </c>
      <c r="B19" s="23" t="str">
        <f>IF(N(B17)&gt;0,B17-B18,"")</f>
        <v/>
      </c>
      <c r="C19" s="20"/>
      <c r="D19" s="13" t="s">
        <v>30</v>
      </c>
      <c r="E19" s="14"/>
      <c r="F19" s="19" t="str">
        <f>IF(AND(N(B17)&gt;0,N(F17)&gt;0),IFERROR(F17/B17,0),"")</f>
        <v/>
      </c>
      <c r="G19" s="20"/>
    </row>
    <row r="20" spans="1:9" x14ac:dyDescent="0.3">
      <c r="A20" s="3" t="s">
        <v>31</v>
      </c>
      <c r="B20" s="30"/>
      <c r="C20" s="16"/>
      <c r="D20" s="13" t="s">
        <v>32</v>
      </c>
      <c r="E20" s="14"/>
      <c r="F20" s="30"/>
      <c r="G20" s="16"/>
    </row>
    <row r="21" spans="1:9" x14ac:dyDescent="0.3">
      <c r="A21" s="3" t="s">
        <v>33</v>
      </c>
      <c r="B21" s="16"/>
      <c r="C21" s="16"/>
      <c r="D21" s="16"/>
      <c r="E21" s="16"/>
      <c r="F21" s="16"/>
      <c r="G21" s="16"/>
      <c r="H21" s="16"/>
      <c r="I21" s="16"/>
    </row>
    <row r="22" spans="1:9" ht="6" customHeight="1" x14ac:dyDescent="0.3"/>
    <row r="23" spans="1:9" x14ac:dyDescent="0.3">
      <c r="A23" s="31" t="s">
        <v>34</v>
      </c>
      <c r="B23" s="32"/>
      <c r="C23" s="32"/>
      <c r="D23" s="32"/>
      <c r="E23" s="32"/>
      <c r="F23" s="32"/>
      <c r="G23" s="32"/>
      <c r="H23" s="32"/>
      <c r="I23" s="32"/>
    </row>
    <row r="24" spans="1:9" ht="16.05" customHeight="1" x14ac:dyDescent="0.3">
      <c r="A24" s="6" t="s">
        <v>35</v>
      </c>
      <c r="B24" s="6" t="s">
        <v>36</v>
      </c>
      <c r="C24" s="6" t="s">
        <v>37</v>
      </c>
      <c r="D24" s="6" t="s">
        <v>38</v>
      </c>
      <c r="E24" s="6" t="s">
        <v>39</v>
      </c>
      <c r="F24" s="26" t="s">
        <v>40</v>
      </c>
      <c r="G24" s="27"/>
      <c r="H24" s="27"/>
      <c r="I24" s="27"/>
    </row>
    <row r="25" spans="1:9" x14ac:dyDescent="0.3">
      <c r="A25" s="5" t="s">
        <v>41</v>
      </c>
      <c r="B25" s="7">
        <v>75</v>
      </c>
      <c r="C25" s="5"/>
      <c r="D25" s="8" t="str">
        <f>IF(AND(N(B17)&gt;0,ISNUMBER(C25)),IFERROR(C25/B17*100,0),"")</f>
        <v/>
      </c>
      <c r="E25" s="8">
        <f>IF(ISNUMBER(D25),D25,0)</f>
        <v>0</v>
      </c>
      <c r="F25" s="8">
        <f t="shared" ref="F25:F46" si="0">100-E25</f>
        <v>100</v>
      </c>
      <c r="G25" s="5"/>
      <c r="H25" s="5"/>
      <c r="I25" s="5"/>
    </row>
    <row r="26" spans="1:9" x14ac:dyDescent="0.3">
      <c r="A26" s="5" t="s">
        <v>42</v>
      </c>
      <c r="B26" s="7">
        <v>62.9</v>
      </c>
      <c r="C26" s="5"/>
      <c r="D26" s="8" t="str">
        <f>IF(AND(N(B17)&gt;0,ISNUMBER(C26)),IFERROR(C26/B17*100,0),"")</f>
        <v/>
      </c>
      <c r="E26" s="8">
        <f t="shared" ref="E26:E46" si="1">IF(ISNUMBER(D26),E25+D26,E25)</f>
        <v>0</v>
      </c>
      <c r="F26" s="8">
        <f t="shared" si="0"/>
        <v>100</v>
      </c>
      <c r="G26" s="5"/>
      <c r="H26" s="5"/>
      <c r="I26" s="5"/>
    </row>
    <row r="27" spans="1:9" x14ac:dyDescent="0.3">
      <c r="A27" s="5" t="s">
        <v>43</v>
      </c>
      <c r="B27" s="7">
        <v>50.8</v>
      </c>
      <c r="C27" s="5"/>
      <c r="D27" s="8" t="str">
        <f>IF(AND(N(B17)&gt;0,ISNUMBER(C27)),IFERROR(C27/B17*100,0),"")</f>
        <v/>
      </c>
      <c r="E27" s="8">
        <f t="shared" si="1"/>
        <v>0</v>
      </c>
      <c r="F27" s="8">
        <f t="shared" si="0"/>
        <v>100</v>
      </c>
      <c r="G27" s="5"/>
      <c r="H27" s="5"/>
      <c r="I27" s="5"/>
    </row>
    <row r="28" spans="1:9" x14ac:dyDescent="0.3">
      <c r="A28" s="5" t="s">
        <v>44</v>
      </c>
      <c r="B28" s="7">
        <v>38.1</v>
      </c>
      <c r="C28" s="5"/>
      <c r="D28" s="8" t="str">
        <f>IF(AND(N(B17)&gt;0,ISNUMBER(C28)),IFERROR(C28/B17*100,0),"")</f>
        <v/>
      </c>
      <c r="E28" s="8">
        <f t="shared" si="1"/>
        <v>0</v>
      </c>
      <c r="F28" s="8">
        <f t="shared" si="0"/>
        <v>100</v>
      </c>
      <c r="G28" s="5"/>
      <c r="H28" s="5"/>
      <c r="I28" s="5"/>
    </row>
    <row r="29" spans="1:9" x14ac:dyDescent="0.3">
      <c r="A29" s="5" t="s">
        <v>45</v>
      </c>
      <c r="B29" s="7">
        <v>25.4</v>
      </c>
      <c r="C29" s="5"/>
      <c r="D29" s="8" t="str">
        <f>IF(AND(N(B17)&gt;0,ISNUMBER(C29)),IFERROR(C29/B17*100,0),"")</f>
        <v/>
      </c>
      <c r="E29" s="8">
        <f t="shared" si="1"/>
        <v>0</v>
      </c>
      <c r="F29" s="8">
        <f t="shared" si="0"/>
        <v>100</v>
      </c>
      <c r="G29" s="5"/>
      <c r="H29" s="5"/>
      <c r="I29" s="5"/>
    </row>
    <row r="30" spans="1:9" x14ac:dyDescent="0.3">
      <c r="A30" s="5" t="s">
        <v>46</v>
      </c>
      <c r="B30" s="7">
        <v>19</v>
      </c>
      <c r="C30" s="5"/>
      <c r="D30" s="8" t="str">
        <f>IF(AND(N(B17)&gt;0,ISNUMBER(C30)),IFERROR(C30/B17*100,0),"")</f>
        <v/>
      </c>
      <c r="E30" s="8">
        <f t="shared" si="1"/>
        <v>0</v>
      </c>
      <c r="F30" s="8">
        <f t="shared" si="0"/>
        <v>100</v>
      </c>
      <c r="G30" s="5"/>
      <c r="H30" s="5"/>
      <c r="I30" s="5"/>
    </row>
    <row r="31" spans="1:9" x14ac:dyDescent="0.3">
      <c r="A31" s="5" t="s">
        <v>47</v>
      </c>
      <c r="B31" s="7">
        <v>12.7</v>
      </c>
      <c r="C31" s="5"/>
      <c r="D31" s="8" t="str">
        <f>IF(AND(N(B17)&gt;0,ISNUMBER(C31)),IFERROR(C31/B17*100,0),"")</f>
        <v/>
      </c>
      <c r="E31" s="8">
        <f t="shared" si="1"/>
        <v>0</v>
      </c>
      <c r="F31" s="8">
        <f t="shared" si="0"/>
        <v>100</v>
      </c>
      <c r="G31" s="5"/>
      <c r="H31" s="5"/>
      <c r="I31" s="5"/>
    </row>
    <row r="32" spans="1:9" x14ac:dyDescent="0.3">
      <c r="A32" s="5" t="s">
        <v>48</v>
      </c>
      <c r="B32" s="7">
        <v>9.5</v>
      </c>
      <c r="C32" s="5"/>
      <c r="D32" s="8" t="str">
        <f>IF(AND(N(B17)&gt;0,ISNUMBER(C32)),IFERROR(C32/B17*100,0),"")</f>
        <v/>
      </c>
      <c r="E32" s="8">
        <f t="shared" si="1"/>
        <v>0</v>
      </c>
      <c r="F32" s="8">
        <f t="shared" si="0"/>
        <v>100</v>
      </c>
      <c r="G32" s="5"/>
      <c r="H32" s="5"/>
      <c r="I32" s="5"/>
    </row>
    <row r="33" spans="1:9" x14ac:dyDescent="0.3">
      <c r="A33" s="5" t="s">
        <v>49</v>
      </c>
      <c r="B33" s="7">
        <v>6.3</v>
      </c>
      <c r="C33" s="5"/>
      <c r="D33" s="8" t="str">
        <f>IF(AND(N(B17)&gt;0,ISNUMBER(C33)),IFERROR(C33/B17*100,0),"")</f>
        <v/>
      </c>
      <c r="E33" s="8">
        <f t="shared" si="1"/>
        <v>0</v>
      </c>
      <c r="F33" s="8">
        <f t="shared" si="0"/>
        <v>100</v>
      </c>
      <c r="G33" s="5"/>
      <c r="H33" s="5"/>
      <c r="I33" s="5"/>
    </row>
    <row r="34" spans="1:9" x14ac:dyDescent="0.3">
      <c r="A34" s="5" t="s">
        <v>50</v>
      </c>
      <c r="B34" s="7">
        <v>4.76</v>
      </c>
      <c r="C34" s="5"/>
      <c r="D34" s="8" t="str">
        <f>IF(AND(N(B17)&gt;0,ISNUMBER(C34)),IFERROR(C34/B17*100,0),"")</f>
        <v/>
      </c>
      <c r="E34" s="8">
        <f t="shared" si="1"/>
        <v>0</v>
      </c>
      <c r="F34" s="8">
        <f t="shared" si="0"/>
        <v>100</v>
      </c>
      <c r="G34" s="5"/>
      <c r="H34" s="5"/>
      <c r="I34" s="5"/>
    </row>
    <row r="35" spans="1:9" x14ac:dyDescent="0.3">
      <c r="A35" s="5" t="s">
        <v>51</v>
      </c>
      <c r="B35" s="7">
        <v>2.36</v>
      </c>
      <c r="C35" s="5"/>
      <c r="D35" s="8" t="str">
        <f>IF(AND(N(F17)&gt;0,N(B17)&gt;0,ISNUMBER(C35)),IFERROR(C35/F17*(B17-B18)/B17*100,0),"")</f>
        <v/>
      </c>
      <c r="E35" s="8">
        <f t="shared" si="1"/>
        <v>0</v>
      </c>
      <c r="F35" s="8">
        <f t="shared" si="0"/>
        <v>100</v>
      </c>
      <c r="G35" s="5"/>
      <c r="H35" s="5"/>
      <c r="I35" s="5"/>
    </row>
    <row r="36" spans="1:9" x14ac:dyDescent="0.3">
      <c r="A36" s="5" t="s">
        <v>52</v>
      </c>
      <c r="B36" s="7">
        <v>2</v>
      </c>
      <c r="C36" s="5"/>
      <c r="D36" s="8" t="str">
        <f>IF(AND(N(F17)&gt;0,N(B17)&gt;0,ISNUMBER(C36)),IFERROR(C36/F17*(B17-B18)/B17*100,0),"")</f>
        <v/>
      </c>
      <c r="E36" s="8">
        <f t="shared" si="1"/>
        <v>0</v>
      </c>
      <c r="F36" s="8">
        <f t="shared" si="0"/>
        <v>100</v>
      </c>
      <c r="G36" s="5"/>
      <c r="H36" s="5"/>
      <c r="I36" s="5"/>
    </row>
    <row r="37" spans="1:9" x14ac:dyDescent="0.3">
      <c r="A37" s="5" t="s">
        <v>53</v>
      </c>
      <c r="B37" s="7">
        <v>1.1000000000000001</v>
      </c>
      <c r="C37" s="5"/>
      <c r="D37" s="8" t="str">
        <f>IF(AND(N(F17)&gt;0,N(B17)&gt;0,ISNUMBER(C37)),IFERROR(C37/F17*(B17-B18)/B17*100,0),"")</f>
        <v/>
      </c>
      <c r="E37" s="8">
        <f t="shared" si="1"/>
        <v>0</v>
      </c>
      <c r="F37" s="8">
        <f t="shared" si="0"/>
        <v>100</v>
      </c>
      <c r="G37" s="5"/>
      <c r="H37" s="5"/>
      <c r="I37" s="5"/>
    </row>
    <row r="38" spans="1:9" x14ac:dyDescent="0.3">
      <c r="A38" s="5" t="s">
        <v>54</v>
      </c>
      <c r="B38" s="7">
        <v>0.85</v>
      </c>
      <c r="C38" s="5"/>
      <c r="D38" s="8" t="str">
        <f>IF(AND(N(F17)&gt;0,N(B17)&gt;0,ISNUMBER(C38)),IFERROR(C38/F17*(B17-B18)/B17*100,0),"")</f>
        <v/>
      </c>
      <c r="E38" s="8">
        <f t="shared" si="1"/>
        <v>0</v>
      </c>
      <c r="F38" s="8">
        <f t="shared" si="0"/>
        <v>100</v>
      </c>
      <c r="G38" s="5"/>
      <c r="H38" s="5"/>
      <c r="I38" s="5"/>
    </row>
    <row r="39" spans="1:9" x14ac:dyDescent="0.3">
      <c r="A39" s="5" t="s">
        <v>55</v>
      </c>
      <c r="B39" s="7">
        <v>0.59</v>
      </c>
      <c r="C39" s="5"/>
      <c r="D39" s="8" t="str">
        <f>IF(AND(N(F17)&gt;0,N(B17)&gt;0,ISNUMBER(C39)),IFERROR(C39/F17*(B17-B18)/B17*100,0),"")</f>
        <v/>
      </c>
      <c r="E39" s="8">
        <f t="shared" si="1"/>
        <v>0</v>
      </c>
      <c r="F39" s="8">
        <f t="shared" si="0"/>
        <v>100</v>
      </c>
      <c r="G39" s="5"/>
      <c r="H39" s="5"/>
      <c r="I39" s="5"/>
    </row>
    <row r="40" spans="1:9" x14ac:dyDescent="0.3">
      <c r="A40" s="5" t="s">
        <v>56</v>
      </c>
      <c r="B40" s="7">
        <v>0.42499999999999999</v>
      </c>
      <c r="C40" s="5"/>
      <c r="D40" s="8" t="str">
        <f>IF(AND(N(F17)&gt;0,N(B17)&gt;0,ISNUMBER(C40)),IFERROR(C40/F17*(B17-B18)/B17*100,0),"")</f>
        <v/>
      </c>
      <c r="E40" s="8">
        <f t="shared" si="1"/>
        <v>0</v>
      </c>
      <c r="F40" s="8">
        <f t="shared" si="0"/>
        <v>100</v>
      </c>
      <c r="G40" s="5"/>
      <c r="H40" s="5"/>
      <c r="I40" s="5"/>
    </row>
    <row r="41" spans="1:9" x14ac:dyDescent="0.3">
      <c r="A41" s="5" t="s">
        <v>57</v>
      </c>
      <c r="B41" s="7">
        <v>0.29699999999999999</v>
      </c>
      <c r="C41" s="5"/>
      <c r="D41" s="8" t="str">
        <f>IF(AND(N(F17)&gt;0,N(B17)&gt;0,ISNUMBER(C41)),IFERROR(C41/F17*(B17-B18)/B17*100,0),"")</f>
        <v/>
      </c>
      <c r="E41" s="8">
        <f t="shared" si="1"/>
        <v>0</v>
      </c>
      <c r="F41" s="8">
        <f t="shared" si="0"/>
        <v>100</v>
      </c>
      <c r="G41" s="5"/>
      <c r="H41" s="5"/>
      <c r="I41" s="5"/>
    </row>
    <row r="42" spans="1:9" x14ac:dyDescent="0.3">
      <c r="A42" s="5" t="s">
        <v>58</v>
      </c>
      <c r="B42" s="7">
        <v>0.25</v>
      </c>
      <c r="C42" s="5"/>
      <c r="D42" s="8" t="str">
        <f>IF(AND(N(F17)&gt;0,N(B17)&gt;0,ISNUMBER(C42)),IFERROR(C42/F17*(B17-B18)/B17*100,0),"")</f>
        <v/>
      </c>
      <c r="E42" s="8">
        <f t="shared" si="1"/>
        <v>0</v>
      </c>
      <c r="F42" s="8">
        <f t="shared" si="0"/>
        <v>100</v>
      </c>
      <c r="G42" s="5"/>
      <c r="H42" s="5"/>
      <c r="I42" s="5"/>
    </row>
    <row r="43" spans="1:9" x14ac:dyDescent="0.3">
      <c r="A43" s="5" t="s">
        <v>59</v>
      </c>
      <c r="B43" s="7">
        <v>0.14899999999999999</v>
      </c>
      <c r="C43" s="5"/>
      <c r="D43" s="8" t="str">
        <f>IF(AND(N(F17)&gt;0,N(B17)&gt;0,ISNUMBER(C43)),IFERROR(C43/F17*(B17-B18)/B17*100,0),"")</f>
        <v/>
      </c>
      <c r="E43" s="8">
        <f t="shared" si="1"/>
        <v>0</v>
      </c>
      <c r="F43" s="8">
        <f t="shared" si="0"/>
        <v>100</v>
      </c>
      <c r="G43" s="5"/>
      <c r="H43" s="5"/>
      <c r="I43" s="5"/>
    </row>
    <row r="44" spans="1:9" x14ac:dyDescent="0.3">
      <c r="A44" s="5" t="s">
        <v>60</v>
      </c>
      <c r="B44" s="7">
        <v>0.106</v>
      </c>
      <c r="C44" s="5"/>
      <c r="D44" s="8" t="str">
        <f>IF(AND(N(F17)&gt;0,N(B17)&gt;0,ISNUMBER(C44)),IFERROR(C44/F17*(B17-B18)/B17*100,0),"")</f>
        <v/>
      </c>
      <c r="E44" s="8">
        <f t="shared" si="1"/>
        <v>0</v>
      </c>
      <c r="F44" s="8">
        <f t="shared" si="0"/>
        <v>100</v>
      </c>
      <c r="G44" s="5"/>
      <c r="H44" s="5"/>
      <c r="I44" s="5"/>
    </row>
    <row r="45" spans="1:9" x14ac:dyDescent="0.3">
      <c r="A45" s="5" t="s">
        <v>61</v>
      </c>
      <c r="B45" s="7">
        <v>7.4999999999999997E-2</v>
      </c>
      <c r="C45" s="5"/>
      <c r="D45" s="8" t="str">
        <f>IF(AND(N(F17)&gt;0,N(B17)&gt;0,ISNUMBER(C45)),IFERROR(C45/F17*(B17-B18)/B17*100,0),"")</f>
        <v/>
      </c>
      <c r="E45" s="8">
        <f t="shared" si="1"/>
        <v>0</v>
      </c>
      <c r="F45" s="8">
        <f t="shared" si="0"/>
        <v>100</v>
      </c>
      <c r="G45" s="5"/>
      <c r="H45" s="5"/>
      <c r="I45" s="5"/>
    </row>
    <row r="46" spans="1:9" x14ac:dyDescent="0.3">
      <c r="A46" s="5" t="s">
        <v>62</v>
      </c>
      <c r="B46" s="5"/>
      <c r="C46" s="9" t="str">
        <f>IF(AND(N(F17)&gt;0,N(B17)&gt;0),MAX(F17-SUM(C35:C45),0),"")</f>
        <v/>
      </c>
      <c r="D46" s="8" t="str">
        <f>IF(AND(N(F17)&gt;0,N(B17)&gt;0,ISNUMBER(C46)),IFERROR(C46/F17*(B17-B18)/B17*100,0),"")</f>
        <v/>
      </c>
      <c r="E46" s="8">
        <f t="shared" si="1"/>
        <v>0</v>
      </c>
      <c r="F46" s="8">
        <f t="shared" si="0"/>
        <v>100</v>
      </c>
    </row>
    <row r="47" spans="1:9" x14ac:dyDescent="0.3">
      <c r="A47" s="5" t="s">
        <v>63</v>
      </c>
      <c r="B47" s="5"/>
      <c r="C47" s="9" t="str">
        <f>IF(AND(N(B17)&gt;0,ISNUMBER(C25)),SUM(C25:C34)+N(F17),"")</f>
        <v/>
      </c>
      <c r="D47" s="8" t="str">
        <f>IF(ISNUMBER(C47),100,"")</f>
        <v/>
      </c>
      <c r="E47" s="8" t="str">
        <f>IF(ISNUMBER(D47),SUM(D25:D46),"")</f>
        <v/>
      </c>
      <c r="F47" s="8" t="str">
        <f>IF(ISNUMBER(E47),100-E47,"")</f>
        <v/>
      </c>
    </row>
    <row r="49" spans="1:9" x14ac:dyDescent="0.3">
      <c r="A49" s="31" t="s">
        <v>64</v>
      </c>
      <c r="B49" s="32"/>
      <c r="C49" s="32"/>
      <c r="D49" s="32"/>
      <c r="E49" s="32"/>
      <c r="F49" s="32"/>
      <c r="G49" s="32"/>
      <c r="H49" s="32"/>
      <c r="I49" s="32"/>
    </row>
    <row r="50" spans="1:9" x14ac:dyDescent="0.3">
      <c r="A50" s="3" t="s">
        <v>65</v>
      </c>
      <c r="B50" s="10">
        <f>IF(ISNUMBER(E34),E34,"")</f>
        <v>0</v>
      </c>
      <c r="C50" s="3" t="s">
        <v>66</v>
      </c>
      <c r="D50" s="24">
        <f>IF(AND(ISNUMBER(F34),ISNUMBER(F45)),F34-F45,"")</f>
        <v>0</v>
      </c>
      <c r="E50" s="25"/>
      <c r="F50" s="3" t="s">
        <v>67</v>
      </c>
      <c r="G50" s="24">
        <f>IF(ISNUMBER(F45),F45,"")</f>
        <v>100</v>
      </c>
      <c r="H50" s="25"/>
      <c r="I50" s="25"/>
    </row>
    <row r="51" spans="1:9" x14ac:dyDescent="0.3">
      <c r="A51" s="3" t="s">
        <v>68</v>
      </c>
      <c r="B51" s="36" t="str">
        <f>IFERROR(INDEX(A25:A45,MATCH(TRUE,INDEX(E25:E45&gt;0.01,0),0)),"N/A")</f>
        <v>N/A</v>
      </c>
      <c r="C51" s="25"/>
    </row>
    <row r="53" spans="1:9" x14ac:dyDescent="0.3">
      <c r="A53" s="31" t="s">
        <v>69</v>
      </c>
      <c r="B53" s="32"/>
      <c r="C53" s="32"/>
      <c r="D53" s="32"/>
      <c r="E53" s="32"/>
      <c r="F53" s="32"/>
      <c r="G53" s="32"/>
      <c r="H53" s="32"/>
      <c r="I53" s="32"/>
    </row>
    <row r="54" spans="1:9" x14ac:dyDescent="0.3">
      <c r="A54" s="26" t="s">
        <v>70</v>
      </c>
      <c r="B54" s="27"/>
      <c r="C54" s="26" t="s">
        <v>71</v>
      </c>
      <c r="D54" s="27"/>
      <c r="E54" s="27"/>
      <c r="F54" s="27"/>
      <c r="G54" s="27"/>
      <c r="H54" s="27"/>
      <c r="I54" s="27"/>
    </row>
    <row r="55" spans="1:9" x14ac:dyDescent="0.3">
      <c r="A55" s="16" t="s">
        <v>72</v>
      </c>
      <c r="B55" s="16"/>
      <c r="C55" s="15" t="s">
        <v>73</v>
      </c>
      <c r="D55" s="16"/>
      <c r="E55" s="16"/>
      <c r="F55" s="16"/>
      <c r="G55" s="16"/>
      <c r="H55" s="16"/>
      <c r="I55" s="16"/>
    </row>
    <row r="56" spans="1:9" x14ac:dyDescent="0.3">
      <c r="A56" s="16" t="s">
        <v>74</v>
      </c>
      <c r="B56" s="16"/>
      <c r="C56" s="15" t="s">
        <v>75</v>
      </c>
      <c r="D56" s="16"/>
      <c r="E56" s="16"/>
      <c r="F56" s="16"/>
      <c r="G56" s="16"/>
      <c r="H56" s="16"/>
      <c r="I56" s="16"/>
    </row>
    <row r="57" spans="1:9" x14ac:dyDescent="0.3">
      <c r="A57" s="16" t="s">
        <v>76</v>
      </c>
      <c r="B57" s="16"/>
      <c r="C57" s="15" t="s">
        <v>77</v>
      </c>
      <c r="D57" s="16"/>
      <c r="E57" s="16"/>
      <c r="F57" s="16"/>
      <c r="G57" s="16"/>
      <c r="H57" s="16"/>
      <c r="I57" s="16"/>
    </row>
    <row r="58" spans="1:9" x14ac:dyDescent="0.3">
      <c r="A58" s="16" t="s">
        <v>78</v>
      </c>
      <c r="B58" s="16"/>
      <c r="C58" s="15" t="s">
        <v>79</v>
      </c>
      <c r="D58" s="16"/>
      <c r="E58" s="16"/>
      <c r="F58" s="16"/>
      <c r="G58" s="16"/>
      <c r="H58" s="16"/>
      <c r="I58" s="16"/>
    </row>
    <row r="59" spans="1:9" x14ac:dyDescent="0.3">
      <c r="A59" s="16" t="s">
        <v>80</v>
      </c>
      <c r="B59" s="16"/>
      <c r="C59" s="15" t="s">
        <v>81</v>
      </c>
      <c r="D59" s="16"/>
      <c r="E59" s="16"/>
      <c r="F59" s="16"/>
      <c r="G59" s="16"/>
      <c r="H59" s="16"/>
      <c r="I59" s="16"/>
    </row>
    <row r="60" spans="1:9" x14ac:dyDescent="0.3">
      <c r="A60" s="16" t="s">
        <v>82</v>
      </c>
      <c r="B60" s="16"/>
      <c r="C60" s="15" t="s">
        <v>83</v>
      </c>
      <c r="D60" s="16"/>
      <c r="E60" s="16"/>
      <c r="F60" s="16"/>
      <c r="G60" s="16"/>
      <c r="H60" s="16"/>
      <c r="I60" s="16"/>
    </row>
    <row r="61" spans="1:9" x14ac:dyDescent="0.3">
      <c r="A61" s="16" t="s">
        <v>84</v>
      </c>
      <c r="B61" s="16"/>
      <c r="C61" s="15" t="s">
        <v>85</v>
      </c>
      <c r="D61" s="16"/>
      <c r="E61" s="16"/>
      <c r="F61" s="16"/>
      <c r="G61" s="16"/>
      <c r="H61" s="16"/>
      <c r="I61" s="16"/>
    </row>
    <row r="62" spans="1:9" x14ac:dyDescent="0.3">
      <c r="A62" s="16" t="s">
        <v>86</v>
      </c>
      <c r="B62" s="16"/>
      <c r="C62" s="15" t="s">
        <v>87</v>
      </c>
      <c r="D62" s="16"/>
      <c r="E62" s="16"/>
      <c r="F62" s="16"/>
      <c r="G62" s="16"/>
      <c r="H62" s="16"/>
      <c r="I62" s="16"/>
    </row>
    <row r="63" spans="1:9" x14ac:dyDescent="0.3">
      <c r="A63" s="16" t="s">
        <v>88</v>
      </c>
      <c r="B63" s="16"/>
      <c r="C63" s="15" t="s">
        <v>89</v>
      </c>
      <c r="D63" s="16"/>
      <c r="E63" s="16"/>
      <c r="F63" s="16"/>
      <c r="G63" s="16"/>
      <c r="H63" s="16"/>
      <c r="I63" s="16"/>
    </row>
    <row r="64" spans="1:9" x14ac:dyDescent="0.3">
      <c r="A64" s="16" t="s">
        <v>90</v>
      </c>
      <c r="B64" s="16"/>
      <c r="C64" s="15" t="s">
        <v>91</v>
      </c>
      <c r="D64" s="16"/>
      <c r="E64" s="16"/>
      <c r="F64" s="16"/>
      <c r="G64" s="16"/>
      <c r="H64" s="16"/>
      <c r="I64" s="16"/>
    </row>
    <row r="65" spans="1:9" x14ac:dyDescent="0.3">
      <c r="A65" s="16" t="s">
        <v>92</v>
      </c>
      <c r="B65" s="16"/>
      <c r="C65" s="15" t="s">
        <v>93</v>
      </c>
      <c r="D65" s="16"/>
      <c r="E65" s="16"/>
      <c r="F65" s="16"/>
      <c r="G65" s="16"/>
      <c r="H65" s="16"/>
      <c r="I65" s="16"/>
    </row>
    <row r="66" spans="1:9" x14ac:dyDescent="0.3">
      <c r="A66" s="16" t="s">
        <v>94</v>
      </c>
      <c r="B66" s="16"/>
      <c r="C66" s="15" t="s">
        <v>95</v>
      </c>
      <c r="D66" s="16"/>
      <c r="E66" s="16"/>
      <c r="F66" s="16"/>
      <c r="G66" s="16"/>
      <c r="H66" s="16"/>
      <c r="I66" s="16"/>
    </row>
    <row r="67" spans="1:9" x14ac:dyDescent="0.3">
      <c r="A67" s="16" t="s">
        <v>96</v>
      </c>
      <c r="B67" s="16"/>
      <c r="C67" s="15" t="s">
        <v>97</v>
      </c>
      <c r="D67" s="16"/>
      <c r="E67" s="16"/>
      <c r="F67" s="16"/>
      <c r="G67" s="16"/>
      <c r="H67" s="16"/>
      <c r="I67" s="16"/>
    </row>
    <row r="68" spans="1:9" x14ac:dyDescent="0.3">
      <c r="A68" s="16" t="s">
        <v>98</v>
      </c>
      <c r="B68" s="16"/>
      <c r="C68" s="15" t="s">
        <v>99</v>
      </c>
      <c r="D68" s="16"/>
      <c r="E68" s="16"/>
      <c r="F68" s="16"/>
      <c r="G68" s="16"/>
      <c r="H68" s="16"/>
      <c r="I68" s="16"/>
    </row>
    <row r="70" spans="1:9" x14ac:dyDescent="0.3">
      <c r="A70" s="31" t="s">
        <v>100</v>
      </c>
      <c r="B70" s="32"/>
      <c r="C70" s="32"/>
      <c r="D70" s="32"/>
      <c r="E70" s="32"/>
      <c r="F70" s="32"/>
      <c r="G70" s="32"/>
      <c r="H70" s="32"/>
      <c r="I70" s="32"/>
    </row>
    <row r="101" spans="1:9" x14ac:dyDescent="0.3">
      <c r="A101" s="11"/>
      <c r="B101" s="11"/>
      <c r="C101" s="11"/>
      <c r="D101" s="11"/>
      <c r="E101" s="11"/>
      <c r="F101" s="11"/>
      <c r="G101" s="11"/>
      <c r="H101" s="11"/>
      <c r="I101" s="11"/>
    </row>
    <row r="102" spans="1:9" x14ac:dyDescent="0.3">
      <c r="A102" s="28" t="s">
        <v>101</v>
      </c>
      <c r="B102" s="18"/>
      <c r="C102" s="18"/>
      <c r="D102" s="28" t="s">
        <v>102</v>
      </c>
      <c r="E102" s="18"/>
      <c r="F102" s="18"/>
      <c r="G102" s="28" t="s">
        <v>103</v>
      </c>
      <c r="H102" s="18"/>
      <c r="I102" s="18"/>
    </row>
  </sheetData>
  <mergeCells count="69">
    <mergeCell ref="A68:B68"/>
    <mergeCell ref="A70:I70"/>
    <mergeCell ref="C13:D13"/>
    <mergeCell ref="C60:I60"/>
    <mergeCell ref="B12:D12"/>
    <mergeCell ref="A67:B67"/>
    <mergeCell ref="A58:B58"/>
    <mergeCell ref="A16:I16"/>
    <mergeCell ref="A102:C102"/>
    <mergeCell ref="A57:B57"/>
    <mergeCell ref="C64:I64"/>
    <mergeCell ref="C2:G2"/>
    <mergeCell ref="B19:C19"/>
    <mergeCell ref="B10:I10"/>
    <mergeCell ref="F24:I24"/>
    <mergeCell ref="G102:I102"/>
    <mergeCell ref="G12:I12"/>
    <mergeCell ref="F13:G13"/>
    <mergeCell ref="D18:E18"/>
    <mergeCell ref="C54:I54"/>
    <mergeCell ref="C63:I63"/>
    <mergeCell ref="C65:I65"/>
    <mergeCell ref="C55:I55"/>
    <mergeCell ref="A62:B62"/>
    <mergeCell ref="D102:F102"/>
    <mergeCell ref="C1:G1"/>
    <mergeCell ref="F20:G20"/>
    <mergeCell ref="F18:G18"/>
    <mergeCell ref="A23:I23"/>
    <mergeCell ref="A66:B66"/>
    <mergeCell ref="C62:I62"/>
    <mergeCell ref="C68:I68"/>
    <mergeCell ref="B17:C17"/>
    <mergeCell ref="A53:I53"/>
    <mergeCell ref="A56:B56"/>
    <mergeCell ref="D17:E17"/>
    <mergeCell ref="B8:I8"/>
    <mergeCell ref="F17:G17"/>
    <mergeCell ref="A55:B55"/>
    <mergeCell ref="C58:I58"/>
    <mergeCell ref="C3:G3"/>
    <mergeCell ref="B18:C18"/>
    <mergeCell ref="D50:E50"/>
    <mergeCell ref="C67:I67"/>
    <mergeCell ref="A61:B61"/>
    <mergeCell ref="C57:I57"/>
    <mergeCell ref="C66:I66"/>
    <mergeCell ref="C4:G4"/>
    <mergeCell ref="B21:I21"/>
    <mergeCell ref="A54:B54"/>
    <mergeCell ref="A65:B65"/>
    <mergeCell ref="G50:I50"/>
    <mergeCell ref="A49:I49"/>
    <mergeCell ref="C56:I56"/>
    <mergeCell ref="B51:C51"/>
    <mergeCell ref="B20:C20"/>
    <mergeCell ref="C6:G6"/>
    <mergeCell ref="D19:E19"/>
    <mergeCell ref="A60:B60"/>
    <mergeCell ref="F19:G19"/>
    <mergeCell ref="C5:G5"/>
    <mergeCell ref="C59:I59"/>
    <mergeCell ref="A8"/>
    <mergeCell ref="E12:F12"/>
    <mergeCell ref="D20:E20"/>
    <mergeCell ref="C61:I61"/>
    <mergeCell ref="A64:B64"/>
    <mergeCell ref="A59:B59"/>
    <mergeCell ref="A63:B63"/>
  </mergeCells>
  <pageMargins left="0.35" right="0.35" top="0.45" bottom="0.45" header="0.5" footer="0.5"/>
  <pageSetup paperSize="9" fitToHeight="0" orientation="portrait"/>
  <rowBreaks count="1" manualBreakCount="1">
    <brk id="5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3:B23"/>
  <sheetViews>
    <sheetView workbookViewId="0"/>
  </sheetViews>
  <sheetFormatPr baseColWidth="10" defaultColWidth="8.88671875" defaultRowHeight="14.4" x14ac:dyDescent="0.3"/>
  <sheetData>
    <row r="3" spans="1:2" x14ac:dyDescent="0.3">
      <c r="A3">
        <v>75</v>
      </c>
      <c r="B3">
        <f>IF(ISNUMBER(Reporte!F25),Reporte!F25,NA())</f>
        <v>100</v>
      </c>
    </row>
    <row r="4" spans="1:2" x14ac:dyDescent="0.3">
      <c r="A4">
        <v>62.9</v>
      </c>
      <c r="B4">
        <f>IF(ISNUMBER(Reporte!F26),Reporte!F26,NA())</f>
        <v>100</v>
      </c>
    </row>
    <row r="5" spans="1:2" x14ac:dyDescent="0.3">
      <c r="A5">
        <v>50.8</v>
      </c>
      <c r="B5">
        <f>IF(ISNUMBER(Reporte!F27),Reporte!F27,NA())</f>
        <v>100</v>
      </c>
    </row>
    <row r="6" spans="1:2" x14ac:dyDescent="0.3">
      <c r="A6">
        <v>38.1</v>
      </c>
      <c r="B6">
        <f>IF(ISNUMBER(Reporte!F28),Reporte!F28,NA())</f>
        <v>100</v>
      </c>
    </row>
    <row r="7" spans="1:2" x14ac:dyDescent="0.3">
      <c r="A7">
        <v>25.4</v>
      </c>
      <c r="B7">
        <f>IF(ISNUMBER(Reporte!F29),Reporte!F29,NA())</f>
        <v>100</v>
      </c>
    </row>
    <row r="8" spans="1:2" x14ac:dyDescent="0.3">
      <c r="A8">
        <v>19</v>
      </c>
      <c r="B8">
        <f>IF(ISNUMBER(Reporte!F30),Reporte!F30,NA())</f>
        <v>100</v>
      </c>
    </row>
    <row r="9" spans="1:2" x14ac:dyDescent="0.3">
      <c r="A9">
        <v>12.7</v>
      </c>
      <c r="B9">
        <f>IF(ISNUMBER(Reporte!F31),Reporte!F31,NA())</f>
        <v>100</v>
      </c>
    </row>
    <row r="10" spans="1:2" x14ac:dyDescent="0.3">
      <c r="A10">
        <v>9.5</v>
      </c>
      <c r="B10">
        <f>IF(ISNUMBER(Reporte!F32),Reporte!F32,NA())</f>
        <v>100</v>
      </c>
    </row>
    <row r="11" spans="1:2" x14ac:dyDescent="0.3">
      <c r="A11">
        <v>6.3</v>
      </c>
      <c r="B11">
        <f>IF(ISNUMBER(Reporte!F33),Reporte!F33,NA())</f>
        <v>100</v>
      </c>
    </row>
    <row r="12" spans="1:2" x14ac:dyDescent="0.3">
      <c r="A12">
        <v>4.76</v>
      </c>
      <c r="B12">
        <f>IF(ISNUMBER(Reporte!F34),Reporte!F34,NA())</f>
        <v>100</v>
      </c>
    </row>
    <row r="13" spans="1:2" x14ac:dyDescent="0.3">
      <c r="A13">
        <v>2.36</v>
      </c>
      <c r="B13">
        <f>IF(ISNUMBER(Reporte!F35),Reporte!F35,NA())</f>
        <v>100</v>
      </c>
    </row>
    <row r="14" spans="1:2" x14ac:dyDescent="0.3">
      <c r="A14">
        <v>2</v>
      </c>
      <c r="B14">
        <f>IF(ISNUMBER(Reporte!F36),Reporte!F36,NA())</f>
        <v>100</v>
      </c>
    </row>
    <row r="15" spans="1:2" x14ac:dyDescent="0.3">
      <c r="A15">
        <v>1.1000000000000001</v>
      </c>
      <c r="B15">
        <f>IF(ISNUMBER(Reporte!F37),Reporte!F37,NA())</f>
        <v>100</v>
      </c>
    </row>
    <row r="16" spans="1:2" x14ac:dyDescent="0.3">
      <c r="A16">
        <v>0.85</v>
      </c>
      <c r="B16">
        <f>IF(ISNUMBER(Reporte!F38),Reporte!F38,NA())</f>
        <v>100</v>
      </c>
    </row>
    <row r="17" spans="1:2" x14ac:dyDescent="0.3">
      <c r="A17">
        <v>0.59</v>
      </c>
      <c r="B17">
        <f>IF(ISNUMBER(Reporte!F39),Reporte!F39,NA())</f>
        <v>100</v>
      </c>
    </row>
    <row r="18" spans="1:2" x14ac:dyDescent="0.3">
      <c r="A18">
        <v>0.42499999999999999</v>
      </c>
      <c r="B18">
        <f>IF(ISNUMBER(Reporte!F40),Reporte!F40,NA())</f>
        <v>100</v>
      </c>
    </row>
    <row r="19" spans="1:2" x14ac:dyDescent="0.3">
      <c r="A19">
        <v>0.29699999999999999</v>
      </c>
      <c r="B19">
        <f>IF(ISNUMBER(Reporte!F41),Reporte!F41,NA())</f>
        <v>100</v>
      </c>
    </row>
    <row r="20" spans="1:2" x14ac:dyDescent="0.3">
      <c r="A20">
        <v>0.25</v>
      </c>
      <c r="B20">
        <f>IF(ISNUMBER(Reporte!F42),Reporte!F42,NA())</f>
        <v>100</v>
      </c>
    </row>
    <row r="21" spans="1:2" x14ac:dyDescent="0.3">
      <c r="A21">
        <v>0.14899999999999999</v>
      </c>
      <c r="B21">
        <f>IF(ISNUMBER(Reporte!F43),Reporte!F43,NA())</f>
        <v>100</v>
      </c>
    </row>
    <row r="22" spans="1:2" x14ac:dyDescent="0.3">
      <c r="A22">
        <v>0.106</v>
      </c>
      <c r="B22">
        <f>IF(ISNUMBER(Reporte!F44),Reporte!F44,NA())</f>
        <v>100</v>
      </c>
    </row>
    <row r="23" spans="1:2" x14ac:dyDescent="0.3">
      <c r="A23">
        <v>7.4999999999999997E-2</v>
      </c>
      <c r="B23">
        <f>IF(ISNUMBER(Reporte!F45),Reporte!F45,NA())</f>
        <v>100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3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</row>
    <row r="2" spans="1:19" x14ac:dyDescent="0.3">
      <c r="A2" t="s">
        <v>123</v>
      </c>
      <c r="B2" t="s">
        <v>124</v>
      </c>
      <c r="C2" t="s">
        <v>125</v>
      </c>
      <c r="D2" t="s">
        <v>126</v>
      </c>
      <c r="E2">
        <v>620</v>
      </c>
      <c r="F2">
        <v>480</v>
      </c>
      <c r="G2" t="s">
        <v>127</v>
      </c>
      <c r="H2">
        <v>0.01</v>
      </c>
      <c r="I2">
        <v>100</v>
      </c>
      <c r="J2">
        <v>0</v>
      </c>
      <c r="K2">
        <v>100</v>
      </c>
      <c r="L2" t="s">
        <v>128</v>
      </c>
      <c r="M2" t="s">
        <v>40</v>
      </c>
      <c r="N2" t="s">
        <v>124</v>
      </c>
      <c r="O2" t="s">
        <v>129</v>
      </c>
      <c r="P2" t="s">
        <v>130</v>
      </c>
      <c r="Q2" t="s">
        <v>131</v>
      </c>
      <c r="R2" t="s">
        <v>132</v>
      </c>
      <c r="S2">
        <v>1</v>
      </c>
    </row>
    <row r="3" spans="1:19" x14ac:dyDescent="0.3">
      <c r="A3" t="s">
        <v>123</v>
      </c>
      <c r="N3" t="s">
        <v>133</v>
      </c>
      <c r="O3" t="s">
        <v>134</v>
      </c>
      <c r="P3" t="s">
        <v>130</v>
      </c>
      <c r="Q3" t="s">
        <v>131</v>
      </c>
      <c r="R3" t="s">
        <v>132</v>
      </c>
      <c r="S3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2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135</v>
      </c>
      <c r="B1" t="s">
        <v>136</v>
      </c>
      <c r="C1" t="s">
        <v>106</v>
      </c>
      <c r="D1" t="s">
        <v>137</v>
      </c>
    </row>
    <row r="2" spans="1:4" x14ac:dyDescent="0.3">
      <c r="A2" t="s">
        <v>138</v>
      </c>
      <c r="B2" t="s">
        <v>139</v>
      </c>
      <c r="C2" t="s">
        <v>140</v>
      </c>
    </row>
    <row r="3" spans="1:4" x14ac:dyDescent="0.3">
      <c r="A3" t="s">
        <v>141</v>
      </c>
      <c r="B3" t="s">
        <v>142</v>
      </c>
      <c r="C3" t="s">
        <v>140</v>
      </c>
    </row>
    <row r="4" spans="1:4" x14ac:dyDescent="0.3">
      <c r="A4" t="s">
        <v>143</v>
      </c>
      <c r="B4" t="s">
        <v>144</v>
      </c>
      <c r="C4" t="s">
        <v>140</v>
      </c>
    </row>
    <row r="5" spans="1:4" x14ac:dyDescent="0.3">
      <c r="A5" t="s">
        <v>145</v>
      </c>
      <c r="B5" t="s">
        <v>146</v>
      </c>
      <c r="C5" t="s">
        <v>140</v>
      </c>
    </row>
    <row r="6" spans="1:4" x14ac:dyDescent="0.3">
      <c r="A6" t="s">
        <v>147</v>
      </c>
      <c r="B6" t="s">
        <v>148</v>
      </c>
      <c r="C6" t="s">
        <v>140</v>
      </c>
    </row>
    <row r="7" spans="1:4" x14ac:dyDescent="0.3">
      <c r="A7" t="s">
        <v>149</v>
      </c>
      <c r="B7" t="s">
        <v>150</v>
      </c>
      <c r="C7" t="s">
        <v>140</v>
      </c>
    </row>
    <row r="8" spans="1:4" x14ac:dyDescent="0.3">
      <c r="A8" t="s">
        <v>151</v>
      </c>
      <c r="B8" t="s">
        <v>152</v>
      </c>
      <c r="C8" t="s">
        <v>140</v>
      </c>
    </row>
    <row r="9" spans="1:4" x14ac:dyDescent="0.3">
      <c r="A9" t="s">
        <v>153</v>
      </c>
      <c r="B9" t="s">
        <v>154</v>
      </c>
      <c r="C9" t="s">
        <v>155</v>
      </c>
      <c r="D9" t="s">
        <v>156</v>
      </c>
    </row>
    <row r="10" spans="1:4" x14ac:dyDescent="0.3">
      <c r="A10" t="s">
        <v>157</v>
      </c>
      <c r="B10" t="s">
        <v>158</v>
      </c>
      <c r="C10" t="s">
        <v>159</v>
      </c>
      <c r="D10" t="s">
        <v>160</v>
      </c>
    </row>
    <row r="11" spans="1:4" x14ac:dyDescent="0.3">
      <c r="A11" t="s">
        <v>161</v>
      </c>
      <c r="B11" t="s">
        <v>162</v>
      </c>
      <c r="C11" t="s">
        <v>159</v>
      </c>
      <c r="D11" t="s">
        <v>160</v>
      </c>
    </row>
    <row r="12" spans="1:4" x14ac:dyDescent="0.3">
      <c r="A12" t="s">
        <v>163</v>
      </c>
      <c r="B12" t="s">
        <v>164</v>
      </c>
      <c r="C12" t="s">
        <v>140</v>
      </c>
    </row>
    <row r="13" spans="1:4" x14ac:dyDescent="0.3">
      <c r="A13" t="s">
        <v>165</v>
      </c>
      <c r="B13" t="s">
        <v>166</v>
      </c>
      <c r="C13" t="s">
        <v>140</v>
      </c>
    </row>
    <row r="14" spans="1:4" x14ac:dyDescent="0.3">
      <c r="A14" t="s">
        <v>167</v>
      </c>
      <c r="B14" t="s">
        <v>168</v>
      </c>
      <c r="C14" t="s">
        <v>140</v>
      </c>
    </row>
    <row r="15" spans="1:4" x14ac:dyDescent="0.3">
      <c r="A15" t="s">
        <v>169</v>
      </c>
      <c r="B15" t="s">
        <v>170</v>
      </c>
      <c r="C15" t="s">
        <v>140</v>
      </c>
    </row>
    <row r="16" spans="1:4" x14ac:dyDescent="0.3">
      <c r="A16" t="s">
        <v>171</v>
      </c>
      <c r="B16" t="s">
        <v>172</v>
      </c>
      <c r="C16" t="s">
        <v>140</v>
      </c>
    </row>
    <row r="17" spans="1:4" x14ac:dyDescent="0.3">
      <c r="A17" t="s">
        <v>173</v>
      </c>
      <c r="B17" t="s">
        <v>174</v>
      </c>
      <c r="C17" t="s">
        <v>159</v>
      </c>
      <c r="D17" t="s">
        <v>160</v>
      </c>
    </row>
    <row r="18" spans="1:4" x14ac:dyDescent="0.3">
      <c r="A18" t="s">
        <v>175</v>
      </c>
      <c r="B18" t="s">
        <v>176</v>
      </c>
      <c r="C18" t="s">
        <v>159</v>
      </c>
      <c r="D18" t="s">
        <v>160</v>
      </c>
    </row>
    <row r="19" spans="1:4" x14ac:dyDescent="0.3">
      <c r="A19" t="s">
        <v>177</v>
      </c>
      <c r="B19" t="s">
        <v>178</v>
      </c>
      <c r="C19" t="s">
        <v>159</v>
      </c>
      <c r="D19" t="s">
        <v>160</v>
      </c>
    </row>
    <row r="20" spans="1:4" x14ac:dyDescent="0.3">
      <c r="A20" t="s">
        <v>179</v>
      </c>
      <c r="B20" t="s">
        <v>180</v>
      </c>
      <c r="C20" t="s">
        <v>159</v>
      </c>
      <c r="D20" t="s">
        <v>160</v>
      </c>
    </row>
    <row r="21" spans="1:4" x14ac:dyDescent="0.3">
      <c r="A21" t="s">
        <v>181</v>
      </c>
      <c r="B21" t="s">
        <v>182</v>
      </c>
      <c r="C21" t="s">
        <v>140</v>
      </c>
    </row>
    <row r="22" spans="1:4" x14ac:dyDescent="0.3">
      <c r="A22" t="s">
        <v>183</v>
      </c>
      <c r="B22" t="s">
        <v>184</v>
      </c>
      <c r="C22" t="s">
        <v>159</v>
      </c>
      <c r="D22" t="s">
        <v>160</v>
      </c>
    </row>
    <row r="23" spans="1:4" x14ac:dyDescent="0.3">
      <c r="A23" t="s">
        <v>185</v>
      </c>
      <c r="B23" t="s">
        <v>186</v>
      </c>
      <c r="C23" t="s">
        <v>159</v>
      </c>
      <c r="D23" t="s">
        <v>160</v>
      </c>
    </row>
    <row r="24" spans="1:4" x14ac:dyDescent="0.3">
      <c r="A24" t="s">
        <v>187</v>
      </c>
      <c r="B24" t="s">
        <v>188</v>
      </c>
      <c r="C24" t="s">
        <v>159</v>
      </c>
      <c r="D24" t="s">
        <v>160</v>
      </c>
    </row>
    <row r="25" spans="1:4" x14ac:dyDescent="0.3">
      <c r="A25" t="s">
        <v>189</v>
      </c>
      <c r="B25" t="s">
        <v>190</v>
      </c>
      <c r="C25" t="s">
        <v>159</v>
      </c>
      <c r="D25" t="s">
        <v>160</v>
      </c>
    </row>
    <row r="26" spans="1:4" x14ac:dyDescent="0.3">
      <c r="A26" t="s">
        <v>191</v>
      </c>
      <c r="B26" t="s">
        <v>192</v>
      </c>
      <c r="C26" t="s">
        <v>159</v>
      </c>
      <c r="D26" t="s">
        <v>160</v>
      </c>
    </row>
    <row r="27" spans="1:4" x14ac:dyDescent="0.3">
      <c r="A27" t="s">
        <v>193</v>
      </c>
      <c r="B27" t="s">
        <v>194</v>
      </c>
      <c r="C27" t="s">
        <v>159</v>
      </c>
      <c r="D27" t="s">
        <v>160</v>
      </c>
    </row>
    <row r="28" spans="1:4" x14ac:dyDescent="0.3">
      <c r="A28" t="s">
        <v>195</v>
      </c>
      <c r="B28" t="s">
        <v>196</v>
      </c>
      <c r="C28" t="s">
        <v>159</v>
      </c>
      <c r="D28" t="s">
        <v>160</v>
      </c>
    </row>
    <row r="29" spans="1:4" x14ac:dyDescent="0.3">
      <c r="A29" t="s">
        <v>197</v>
      </c>
      <c r="B29" t="s">
        <v>198</v>
      </c>
      <c r="C29" t="s">
        <v>159</v>
      </c>
      <c r="D29" t="s">
        <v>160</v>
      </c>
    </row>
    <row r="30" spans="1:4" x14ac:dyDescent="0.3">
      <c r="A30" t="s">
        <v>199</v>
      </c>
      <c r="B30" t="s">
        <v>200</v>
      </c>
      <c r="C30" t="s">
        <v>159</v>
      </c>
      <c r="D30" t="s">
        <v>160</v>
      </c>
    </row>
    <row r="31" spans="1:4" x14ac:dyDescent="0.3">
      <c r="A31" t="s">
        <v>201</v>
      </c>
      <c r="B31" t="s">
        <v>202</v>
      </c>
      <c r="C31" t="s">
        <v>159</v>
      </c>
      <c r="D31" t="s">
        <v>160</v>
      </c>
    </row>
    <row r="32" spans="1:4" x14ac:dyDescent="0.3">
      <c r="A32" t="s">
        <v>203</v>
      </c>
      <c r="B32" t="s">
        <v>204</v>
      </c>
      <c r="C32" t="s">
        <v>159</v>
      </c>
      <c r="D32" t="s">
        <v>160</v>
      </c>
    </row>
    <row r="33" spans="1:4" x14ac:dyDescent="0.3">
      <c r="A33" t="s">
        <v>205</v>
      </c>
      <c r="B33" t="s">
        <v>206</v>
      </c>
      <c r="C33" t="s">
        <v>159</v>
      </c>
      <c r="D33" t="s">
        <v>160</v>
      </c>
    </row>
    <row r="34" spans="1:4" x14ac:dyDescent="0.3">
      <c r="A34" t="s">
        <v>207</v>
      </c>
      <c r="B34" t="s">
        <v>208</v>
      </c>
      <c r="C34" t="s">
        <v>159</v>
      </c>
      <c r="D34" t="s">
        <v>160</v>
      </c>
    </row>
    <row r="35" spans="1:4" x14ac:dyDescent="0.3">
      <c r="A35" t="s">
        <v>209</v>
      </c>
      <c r="B35" t="s">
        <v>210</v>
      </c>
      <c r="C35" t="s">
        <v>159</v>
      </c>
      <c r="D35" t="s">
        <v>160</v>
      </c>
    </row>
    <row r="36" spans="1:4" x14ac:dyDescent="0.3">
      <c r="A36" t="s">
        <v>211</v>
      </c>
      <c r="B36" t="s">
        <v>212</v>
      </c>
      <c r="C36" t="s">
        <v>159</v>
      </c>
      <c r="D36" t="s">
        <v>160</v>
      </c>
    </row>
    <row r="37" spans="1:4" x14ac:dyDescent="0.3">
      <c r="A37" t="s">
        <v>213</v>
      </c>
      <c r="B37" t="s">
        <v>214</v>
      </c>
      <c r="C37" t="s">
        <v>159</v>
      </c>
      <c r="D37" t="s">
        <v>160</v>
      </c>
    </row>
    <row r="38" spans="1:4" x14ac:dyDescent="0.3">
      <c r="A38" t="s">
        <v>215</v>
      </c>
      <c r="B38" t="s">
        <v>216</v>
      </c>
      <c r="C38" t="s">
        <v>159</v>
      </c>
      <c r="D38" t="s">
        <v>160</v>
      </c>
    </row>
    <row r="39" spans="1:4" x14ac:dyDescent="0.3">
      <c r="A39" t="s">
        <v>217</v>
      </c>
      <c r="B39" t="s">
        <v>218</v>
      </c>
      <c r="C39" t="s">
        <v>159</v>
      </c>
      <c r="D39" t="s">
        <v>160</v>
      </c>
    </row>
    <row r="40" spans="1:4" x14ac:dyDescent="0.3">
      <c r="A40" t="s">
        <v>219</v>
      </c>
      <c r="B40" t="s">
        <v>220</v>
      </c>
      <c r="C40" t="s">
        <v>159</v>
      </c>
      <c r="D40" t="s">
        <v>160</v>
      </c>
    </row>
    <row r="41" spans="1:4" x14ac:dyDescent="0.3">
      <c r="A41" t="s">
        <v>221</v>
      </c>
      <c r="B41" t="s">
        <v>222</v>
      </c>
      <c r="C41" t="s">
        <v>159</v>
      </c>
      <c r="D41" t="s">
        <v>160</v>
      </c>
    </row>
    <row r="42" spans="1:4" x14ac:dyDescent="0.3">
      <c r="A42" t="s">
        <v>223</v>
      </c>
      <c r="B42" t="s">
        <v>224</v>
      </c>
      <c r="C42" t="s">
        <v>159</v>
      </c>
      <c r="D42" t="s">
        <v>160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Reporte</vt:lpstr>
      <vt:lpstr>_DATOS</vt:lpstr>
      <vt:lpstr>_GRAFICOS</vt:lpstr>
      <vt:lpstr>_MAPA</vt:lpstr>
      <vt:lpstr>Reporte!Área_de_impresión</vt:lpstr>
      <vt:lpstr>GranX</vt:lpstr>
      <vt:lpstr>GranY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2026-09-07T15:31:45Z</dcterms:created>
  <dcterms:modified xsi:type="dcterms:W3CDTF">2026-09-07T15:31:50Z</dcterms:modified>
</cp:coreProperties>
</file>