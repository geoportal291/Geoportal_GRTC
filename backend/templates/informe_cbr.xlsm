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EEA730B4-B659-45DB-9EF4-0E33C056975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GRAFICOS" sheetId="2" state="hidden" r:id="rId2"/>
    <sheet name="_MAPA" sheetId="3" state="hidden" r:id="rId3"/>
  </sheets>
  <functionGroups builtInGroupCount="19"/>
  <definedNames>
    <definedName name="_xlnm.Print_Area" localSheetId="0">Reporte!$A$1:$I$109</definedName>
  </definedNames>
  <calcPr calcId="191029"/>
</workbook>
</file>

<file path=xl/calcChain.xml><?xml version="1.0" encoding="utf-8"?>
<calcChain xmlns="http://schemas.openxmlformats.org/spreadsheetml/2006/main">
  <c r="D71" i="1" l="1"/>
  <c r="B71" i="1"/>
  <c r="I63" i="1"/>
  <c r="G63" i="1"/>
  <c r="E63" i="1"/>
  <c r="I62" i="1"/>
  <c r="G62" i="1"/>
  <c r="E62" i="1"/>
  <c r="I61" i="1"/>
  <c r="D72" i="1" s="1"/>
  <c r="D73" i="1" s="1"/>
  <c r="G61" i="1"/>
  <c r="C72" i="1" s="1"/>
  <c r="E61" i="1"/>
  <c r="B72" i="1" s="1"/>
  <c r="I60" i="1"/>
  <c r="G60" i="1"/>
  <c r="E60" i="1"/>
  <c r="I59" i="1"/>
  <c r="G59" i="1"/>
  <c r="E59" i="1"/>
  <c r="I58" i="1"/>
  <c r="G58" i="1"/>
  <c r="C71" i="1" s="1"/>
  <c r="E58" i="1"/>
  <c r="I57" i="1"/>
  <c r="G57" i="1"/>
  <c r="E57" i="1"/>
  <c r="I56" i="1"/>
  <c r="G56" i="1"/>
  <c r="E56" i="1"/>
  <c r="I55" i="1"/>
  <c r="G55" i="1"/>
  <c r="E55" i="1"/>
  <c r="G51" i="1"/>
  <c r="D69" i="1" s="1"/>
  <c r="F51" i="1"/>
  <c r="C69" i="1" s="1"/>
  <c r="E51" i="1"/>
  <c r="B69" i="1" s="1"/>
  <c r="G50" i="1"/>
  <c r="F50" i="1"/>
  <c r="E50" i="1"/>
  <c r="G49" i="1"/>
  <c r="F49" i="1"/>
  <c r="E49" i="1"/>
  <c r="G48" i="1"/>
  <c r="F48" i="1"/>
  <c r="E48" i="1"/>
  <c r="G47" i="1"/>
  <c r="F47" i="1"/>
  <c r="E47" i="1"/>
  <c r="D43" i="1"/>
  <c r="D70" i="1" s="1"/>
  <c r="C43" i="1"/>
  <c r="C70" i="1" s="1"/>
  <c r="B43" i="1"/>
  <c r="B70" i="1" s="1"/>
  <c r="D42" i="1"/>
  <c r="C42" i="1"/>
  <c r="B42" i="1"/>
  <c r="D36" i="1"/>
  <c r="D68" i="1" s="1"/>
  <c r="D35" i="1"/>
  <c r="C35" i="1"/>
  <c r="C36" i="1" s="1"/>
  <c r="B35" i="1"/>
  <c r="B36" i="1" s="1"/>
  <c r="D34" i="1"/>
  <c r="C34" i="1"/>
  <c r="B34" i="1"/>
  <c r="B29" i="1"/>
  <c r="D28" i="1"/>
  <c r="D29" i="1" s="1"/>
  <c r="C28" i="1"/>
  <c r="C29" i="1" s="1"/>
  <c r="B28" i="1"/>
  <c r="D25" i="1"/>
  <c r="C25" i="1"/>
  <c r="B25" i="1"/>
  <c r="C73" i="1" l="1"/>
  <c r="B68" i="1"/>
  <c r="B37" i="1"/>
  <c r="B67" i="1" s="1"/>
  <c r="C68" i="1"/>
  <c r="C37" i="1"/>
  <c r="C67" i="1" s="1"/>
  <c r="B73" i="1"/>
  <c r="D37" i="1"/>
  <c r="D67" i="1" s="1"/>
  <c r="B75" i="1" l="1"/>
</calcChain>
</file>

<file path=xl/sharedStrings.xml><?xml version="1.0" encoding="utf-8"?>
<sst xmlns="http://schemas.openxmlformats.org/spreadsheetml/2006/main" count="505" uniqueCount="328">
  <si>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</si>
  <si>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</si>
  <si>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</si>
  <si>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</si>
  <si>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</si>
  <si>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</si>
  <si>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</si>
  <si>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</si>
  <si>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</si>
  <si>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</si>
  <si>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</si>
  <si>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</si>
  <si>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</si>
  <si>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</si>
  <si>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</si>
  <si>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</si>
  <si>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</si>
  <si>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</si>
  <si>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</si>
  <si>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</si>
  <si>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</si>
  <si>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</si>
  <si>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</si>
  <si>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</si>
  <si>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DATOS DEL EQUIPO</t>
  </si>
  <si>
    <t>Cte. del anillo (kg/div):</t>
  </si>
  <si>
    <t>Área del pistón (cm²):</t>
  </si>
  <si>
    <t>Altura disco esp. (pulg):</t>
  </si>
  <si>
    <t>Carga patrón al 0.1" (kg):</t>
  </si>
  <si>
    <t>Carga patrón al 0.2" (kg):</t>
  </si>
  <si>
    <t>COMPACTACIÓN DE MOLDES - MTC E 132</t>
  </si>
  <si>
    <t>Parámetro</t>
  </si>
  <si>
    <t>M-1 · 56 golpes</t>
  </si>
  <si>
    <t>M-2 · 25 golpes</t>
  </si>
  <si>
    <t>M-3 · 12 golpes</t>
  </si>
  <si>
    <t>Código de molde</t>
  </si>
  <si>
    <t>Altura del molde (cm)</t>
  </si>
  <si>
    <t>Diámetro del molde (cm)</t>
  </si>
  <si>
    <t>Volumen del molde (cm³)</t>
  </si>
  <si>
    <t>Peso molde + muestra compacta (g)</t>
  </si>
  <si>
    <t>Peso del molde (g)</t>
  </si>
  <si>
    <t>Peso de la muestra compacta (g)</t>
  </si>
  <si>
    <t>Densidad húmeda (g/cm³)</t>
  </si>
  <si>
    <t>Cápsula N°</t>
  </si>
  <si>
    <t>Peso de la cápsula (g)</t>
  </si>
  <si>
    <t>Cápsula + suelo húmedo (g)</t>
  </si>
  <si>
    <t>Cápsula + suelo seco (g)</t>
  </si>
  <si>
    <t>Peso del agua (g)</t>
  </si>
  <si>
    <t>Peso del suelo seco (g)</t>
  </si>
  <si>
    <t>Contenido de humedad (%)</t>
  </si>
  <si>
    <t>Densidad seca (g/cm³)</t>
  </si>
  <si>
    <t>ABSORCIÓN</t>
  </si>
  <si>
    <t>Peso M+MC después de inmersión (g)</t>
  </si>
  <si>
    <t>Peso M+MC antes de inmersión (g)</t>
  </si>
  <si>
    <t>% de Absorción</t>
  </si>
  <si>
    <t>EXPANSIÓN (inmersión)</t>
  </si>
  <si>
    <t>Lectura</t>
  </si>
  <si>
    <t>Dial M1 (mm)</t>
  </si>
  <si>
    <t>Dial M2 (mm)</t>
  </si>
  <si>
    <t>Dial M3 (mm)</t>
  </si>
  <si>
    <t>% Exp. M1</t>
  </si>
  <si>
    <t>% Exp. M2</t>
  </si>
  <si>
    <t>% Exp. M3</t>
  </si>
  <si>
    <t>Lectura 1 · 0 h</t>
  </si>
  <si>
    <t>Lectura 2 · 24 h</t>
  </si>
  <si>
    <t>Lectura 3 · 48 h</t>
  </si>
  <si>
    <t>Lectura 4 · 72 h</t>
  </si>
  <si>
    <t>Lectura 5 · 96 h</t>
  </si>
  <si>
    <t>PENETRACIÓN</t>
  </si>
  <si>
    <t>Pen. (mm)</t>
  </si>
  <si>
    <t>Pen. (pulg)</t>
  </si>
  <si>
    <t>Dial M1</t>
  </si>
  <si>
    <t>Carga M1 (kg)</t>
  </si>
  <si>
    <t>Dial M2</t>
  </si>
  <si>
    <t>Carga M2 (kg)</t>
  </si>
  <si>
    <t>Dial M3</t>
  </si>
  <si>
    <t>Carga M3 (kg)</t>
  </si>
  <si>
    <t>1 · P1</t>
  </si>
  <si>
    <t>2 · P2</t>
  </si>
  <si>
    <t>3 · P3</t>
  </si>
  <si>
    <t>4 · P4</t>
  </si>
  <si>
    <t>5 · P5</t>
  </si>
  <si>
    <t>6 · P6</t>
  </si>
  <si>
    <t>7 · P7</t>
  </si>
  <si>
    <t>8 · P8</t>
  </si>
  <si>
    <t>9 · P9</t>
  </si>
  <si>
    <t>RESULTADOS CBR</t>
  </si>
  <si>
    <t>Humedad de compactación (%)</t>
  </si>
  <si>
    <t>% de Expansión (96 h)</t>
  </si>
  <si>
    <t>CBR al 0.1" (%)</t>
  </si>
  <si>
    <t>CBR al 0.2" (%)</t>
  </si>
  <si>
    <t>CBR FINAL (%)</t>
  </si>
  <si>
    <t>CBR DE DISEÑO (máx. de los moldes)</t>
  </si>
  <si>
    <t>CURVA DE PENETRACIÓN - CARGA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</si>
  <si>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</si>
  <si>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</si>
  <si>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</si>
  <si>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</si>
  <si>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</si>
  <si>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</si>
  <si>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</si>
  <si>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</si>
  <si>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</si>
  <si>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</si>
  <si>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</si>
  <si>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</si>
  <si>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</si>
  <si>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</si>
  <si>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</si>
  <si>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</si>
  <si>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</si>
  <si>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</si>
  <si>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</si>
  <si>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</si>
  <si>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</si>
  <si>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</si>
  <si>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curva_penetracion</t>
  </si>
  <si>
    <t>Curva Carga - Penetración CBR</t>
  </si>
  <si>
    <t>xy</t>
  </si>
  <si>
    <t>A78</t>
  </si>
  <si>
    <t>NO</t>
  </si>
  <si>
    <t>Penetración (pulg)</t>
  </si>
  <si>
    <t>Carga (kg)</t>
  </si>
  <si>
    <t>M-1</t>
  </si>
  <si>
    <t>linea</t>
  </si>
  <si>
    <t>'Reporte'!$C$67:$C$64</t>
  </si>
  <si>
    <t>'Reporte'!$E$67:$E$64</t>
  </si>
  <si>
    <t>1E40AF</t>
  </si>
  <si>
    <t>M-2</t>
  </si>
  <si>
    <t>'Reporte'!$G$67:$G$64</t>
  </si>
  <si>
    <t>DC2626</t>
  </si>
  <si>
    <t>M-3</t>
  </si>
  <si>
    <t>'Reporte'!$I$67:$I$64</t>
  </si>
  <si>
    <t>059669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</si>
  <si>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</si>
  <si>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</si>
  <si>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</si>
  <si>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</si>
  <si>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</si>
  <si>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</si>
  <si>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</si>
  <si>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</si>
  <si>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</si>
  <si>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</si>
  <si>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</si>
  <si>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</si>
  <si>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</si>
  <si>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</si>
  <si>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</si>
  <si>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</si>
  <si>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</si>
  <si>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</si>
  <si>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</si>
  <si>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</si>
  <si>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</si>
  <si>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</si>
  <si>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</si>
  <si>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</si>
  <si>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</si>
  <si>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</si>
  <si>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</si>
  <si>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</si>
  <si>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</si>
  <si>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</si>
  <si>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</si>
  <si>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</si>
  <si>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</si>
  <si>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</si>
  <si>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</si>
  <si>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</si>
  <si>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</si>
  <si>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</si>
  <si>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datos.general_fields.constante_anillo</t>
  </si>
  <si>
    <t>B17</t>
  </si>
  <si>
    <t>0.0000</t>
  </si>
  <si>
    <t>datos.general_fields.area_piston_cm2</t>
  </si>
  <si>
    <t>D17</t>
  </si>
  <si>
    <t>datos.general_fields.altura_disco_esp_pulg</t>
  </si>
  <si>
    <t>H17</t>
  </si>
  <si>
    <t>0.000</t>
  </si>
  <si>
    <t>datos.general_fields.carga_patron_01</t>
  </si>
  <si>
    <t>B18</t>
  </si>
  <si>
    <t>datos.general_fields.carga_patron_02</t>
  </si>
  <si>
    <t>D18</t>
  </si>
  <si>
    <t>datos.tables.datos_molde.m1.codigo_molde</t>
  </si>
  <si>
    <t>B22</t>
  </si>
  <si>
    <t>datos.tables.datos_molde.m2.codigo_molde</t>
  </si>
  <si>
    <t>C22</t>
  </si>
  <si>
    <t>datos.tables.datos_molde.m3.codigo_molde</t>
  </si>
  <si>
    <t>D22</t>
  </si>
  <si>
    <t>datos.tables.datos_molde.m1.altura_cm</t>
  </si>
  <si>
    <t>B23</t>
  </si>
  <si>
    <t>datos.tables.datos_molde.m2.altura_cm</t>
  </si>
  <si>
    <t>C23</t>
  </si>
  <si>
    <t>datos.tables.datos_molde.m3.altura_cm</t>
  </si>
  <si>
    <t>D23</t>
  </si>
  <si>
    <t>datos.tables.datos_molde.m1.diametro_cm</t>
  </si>
  <si>
    <t>B24</t>
  </si>
  <si>
    <t>datos.tables.datos_molde.m2.diametro_cm</t>
  </si>
  <si>
    <t>C24</t>
  </si>
  <si>
    <t>datos.tables.datos_molde.m3.diametro_cm</t>
  </si>
  <si>
    <t>D24</t>
  </si>
  <si>
    <t>datos.tables.compactacion.m1.peso_molde_muestra_compacta</t>
  </si>
  <si>
    <t>B26</t>
  </si>
  <si>
    <t>datos.tables.compactacion.m2.peso_molde_muestra_compacta</t>
  </si>
  <si>
    <t>C26</t>
  </si>
  <si>
    <t>datos.tables.compactacion.m3.peso_molde_muestra_compacta</t>
  </si>
  <si>
    <t>D26</t>
  </si>
  <si>
    <t>datos.tables.compactacion.m1.peso_molde</t>
  </si>
  <si>
    <t>B27</t>
  </si>
  <si>
    <t>datos.tables.compactacion.m2.peso_molde</t>
  </si>
  <si>
    <t>C27</t>
  </si>
  <si>
    <t>datos.tables.compactacion.m3.peso_molde</t>
  </si>
  <si>
    <t>D27</t>
  </si>
  <si>
    <t>datos.tables.capsulas.m1.codigo_capsula</t>
  </si>
  <si>
    <t>B30</t>
  </si>
  <si>
    <t>datos.tables.capsulas.m2.codigo_capsula</t>
  </si>
  <si>
    <t>C30</t>
  </si>
  <si>
    <t>datos.tables.capsulas.m3.codigo_capsula</t>
  </si>
  <si>
    <t>D30</t>
  </si>
  <si>
    <t>datos.tables.capsulas.m1.peso_capsula</t>
  </si>
  <si>
    <t>B31</t>
  </si>
  <si>
    <t>datos.tables.capsulas.m2.peso_capsula</t>
  </si>
  <si>
    <t>C31</t>
  </si>
  <si>
    <t>datos.tables.capsulas.m3.peso_capsula</t>
  </si>
  <si>
    <t>D31</t>
  </si>
  <si>
    <t>datos.tables.capsulas.m1.capsula_suelo_humedo</t>
  </si>
  <si>
    <t>B32</t>
  </si>
  <si>
    <t>datos.tables.capsulas.m2.capsula_suelo_humedo</t>
  </si>
  <si>
    <t>C32</t>
  </si>
  <si>
    <t>datos.tables.capsulas.m3.capsula_suelo_humedo</t>
  </si>
  <si>
    <t>D32</t>
  </si>
  <si>
    <t>datos.tables.capsulas.m1.capsula_suelo_seco</t>
  </si>
  <si>
    <t>B33</t>
  </si>
  <si>
    <t>datos.tables.capsulas.m2.capsula_suelo_seco</t>
  </si>
  <si>
    <t>C33</t>
  </si>
  <si>
    <t>datos.tables.capsulas.m3.capsula_suelo_seco</t>
  </si>
  <si>
    <t>D33</t>
  </si>
  <si>
    <t>datos.tables.absorcion.m1.peso_despues_inmersion</t>
  </si>
  <si>
    <t>B41</t>
  </si>
  <si>
    <t>datos.tables.absorcion.m2.peso_despues_inmersion</t>
  </si>
  <si>
    <t>C41</t>
  </si>
  <si>
    <t>datos.tables.absorcion.m3.peso_despues_inmersion</t>
  </si>
  <si>
    <t>D41</t>
  </si>
  <si>
    <t>datos.tables.expansion.h0.m1_mm</t>
  </si>
  <si>
    <t>B47</t>
  </si>
  <si>
    <t>datos.tables.expansion.h0.m2_mm</t>
  </si>
  <si>
    <t>C47</t>
  </si>
  <si>
    <t>datos.tables.expansion.h0.m3_mm</t>
  </si>
  <si>
    <t>D47</t>
  </si>
  <si>
    <t>datos.tables.expansion.h24.m1_mm</t>
  </si>
  <si>
    <t>B48</t>
  </si>
  <si>
    <t>datos.tables.expansion.h24.m2_mm</t>
  </si>
  <si>
    <t>C48</t>
  </si>
  <si>
    <t>datos.tables.expansion.h24.m3_mm</t>
  </si>
  <si>
    <t>D48</t>
  </si>
  <si>
    <t>datos.tables.expansion.h48.m1_mm</t>
  </si>
  <si>
    <t>B49</t>
  </si>
  <si>
    <t>datos.tables.expansion.h48.m2_mm</t>
  </si>
  <si>
    <t>C49</t>
  </si>
  <si>
    <t>datos.tables.expansion.h48.m3_mm</t>
  </si>
  <si>
    <t>D49</t>
  </si>
  <si>
    <t>datos.tables.expansion.h72.m1_mm</t>
  </si>
  <si>
    <t>B50</t>
  </si>
  <si>
    <t>datos.tables.expansion.h72.m2_mm</t>
  </si>
  <si>
    <t>C50</t>
  </si>
  <si>
    <t>datos.tables.expansion.h72.m3_mm</t>
  </si>
  <si>
    <t>D50</t>
  </si>
  <si>
    <t>datos.tables.expansion.h96.m1_mm</t>
  </si>
  <si>
    <t>B51</t>
  </si>
  <si>
    <t>datos.tables.expansion.h96.m2_mm</t>
  </si>
  <si>
    <t>C51</t>
  </si>
  <si>
    <t>datos.tables.expansion.h96.m3_mm</t>
  </si>
  <si>
    <t>D51</t>
  </si>
  <si>
    <t>datos.tables.penetracion.p1.m1_dial</t>
  </si>
  <si>
    <t>D55</t>
  </si>
  <si>
    <t>datos.tables.penetracion.p1.m2_dial</t>
  </si>
  <si>
    <t>F55</t>
  </si>
  <si>
    <t>datos.tables.penetracion.p1.m3_dial</t>
  </si>
  <si>
    <t>H55</t>
  </si>
  <si>
    <t>datos.tables.penetracion.p2.m1_dial</t>
  </si>
  <si>
    <t>D56</t>
  </si>
  <si>
    <t>datos.tables.penetracion.p2.m2_dial</t>
  </si>
  <si>
    <t>F56</t>
  </si>
  <si>
    <t>datos.tables.penetracion.p2.m3_dial</t>
  </si>
  <si>
    <t>H56</t>
  </si>
  <si>
    <t>datos.tables.penetracion.p3.m1_dial</t>
  </si>
  <si>
    <t>D57</t>
  </si>
  <si>
    <t>datos.tables.penetracion.p3.m2_dial</t>
  </si>
  <si>
    <t>F57</t>
  </si>
  <si>
    <t>datos.tables.penetracion.p3.m3_dial</t>
  </si>
  <si>
    <t>H57</t>
  </si>
  <si>
    <t>datos.tables.penetracion.p4.m1_dial</t>
  </si>
  <si>
    <t>D58</t>
  </si>
  <si>
    <t>datos.tables.penetracion.p4.m2_dial</t>
  </si>
  <si>
    <t>F58</t>
  </si>
  <si>
    <t>datos.tables.penetracion.p4.m3_dial</t>
  </si>
  <si>
    <t>H58</t>
  </si>
  <si>
    <t>datos.tables.penetracion.p5.m1_dial</t>
  </si>
  <si>
    <t>D59</t>
  </si>
  <si>
    <t>datos.tables.penetracion.p5.m2_dial</t>
  </si>
  <si>
    <t>F59</t>
  </si>
  <si>
    <t>datos.tables.penetracion.p5.m3_dial</t>
  </si>
  <si>
    <t>H59</t>
  </si>
  <si>
    <t>datos.tables.penetracion.p6.m1_dial</t>
  </si>
  <si>
    <t>D60</t>
  </si>
  <si>
    <t>datos.tables.penetracion.p6.m2_dial</t>
  </si>
  <si>
    <t>F60</t>
  </si>
  <si>
    <t>datos.tables.penetracion.p6.m3_dial</t>
  </si>
  <si>
    <t>H60</t>
  </si>
  <si>
    <t>datos.tables.penetracion.p7.m1_dial</t>
  </si>
  <si>
    <t>D61</t>
  </si>
  <si>
    <t>datos.tables.penetracion.p7.m2_dial</t>
  </si>
  <si>
    <t>F61</t>
  </si>
  <si>
    <t>datos.tables.penetracion.p7.m3_dial</t>
  </si>
  <si>
    <t>H61</t>
  </si>
  <si>
    <t>datos.tables.penetracion.p8.m1_dial</t>
  </si>
  <si>
    <t>D62</t>
  </si>
  <si>
    <t>datos.tables.penetracion.p8.m2_dial</t>
  </si>
  <si>
    <t>F62</t>
  </si>
  <si>
    <t>datos.tables.penetracion.p8.m3_dial</t>
  </si>
  <si>
    <t>H62</t>
  </si>
  <si>
    <t>datos.tables.penetracion.p9.m1_dial</t>
  </si>
  <si>
    <t>D63</t>
  </si>
  <si>
    <t>datos.tables.penetracion.p9.m2_dial</t>
  </si>
  <si>
    <t>F63</t>
  </si>
  <si>
    <t>datos.tables.penetracion.p9.m3_dial</t>
  </si>
  <si>
    <t>H63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</si>
</sst>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5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 style="thin">
        <color rgb="FF0F172A"/>
      </bottom>
      <diagonal/>
    </border>
    <border>
      <left/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5" fontId="12" fillId="7" borderId="1" xfId="0" applyNumberFormat="1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0" fontId="0" fillId="0" borderId="4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4" fillId="0" borderId="0" xfId="0" applyFont="1" applyAlignment="1">
      <alignment horizontal="center" vertical="center" wrapText="1"/>
    </xf>
    <xf numFmtId="0" fontId="0" fillId="0" borderId="0" xfId="0"/>
    <xf numFmtId="166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Carga - Penetración (MTC E 132)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M-1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strRef>
              <c:f>Reporte!$C$64:$C$67</c:f>
              <c:strCache>
                <c:ptCount val="3"/>
                <c:pt idx="2">
                  <c:v>M-2 · 25 golpes</c:v>
                </c:pt>
              </c:strCache>
            </c:strRef>
          </c:xVal>
          <c:yVal>
            <c:numRef>
              <c:f>Reporte!$E$64:$E$67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8-40BC-A86A-8F35485596AD}"/>
            </c:ext>
          </c:extLst>
        </c:ser>
        <c:ser>
          <c:idx val="1"/>
          <c:order val="1"/>
          <c:tx>
            <c:v>M-2</c:v>
          </c:tx>
          <c:spPr>
            <a:ln w="24000">
              <a:solidFill>
                <a:srgbClr val="DC2626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DC2626"/>
              </a:solidFill>
              <a:ln>
                <a:solidFill>
                  <a:srgbClr val="DC2626"/>
                </a:solidFill>
                <a:prstDash val="solid"/>
              </a:ln>
            </c:spPr>
          </c:marker>
          <c:xVal>
            <c:strRef>
              <c:f>Reporte!$C$64:$C$67</c:f>
              <c:strCache>
                <c:ptCount val="3"/>
                <c:pt idx="2">
                  <c:v>M-2 · 25 golpes</c:v>
                </c:pt>
              </c:strCache>
            </c:strRef>
          </c:xVal>
          <c:yVal>
            <c:numRef>
              <c:f>Reporte!$G$64:$G$67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8-40BC-A86A-8F35485596AD}"/>
            </c:ext>
          </c:extLst>
        </c:ser>
        <c:ser>
          <c:idx val="2"/>
          <c:order val="2"/>
          <c:tx>
            <c:v>M-3</c:v>
          </c:tx>
          <c:spPr>
            <a:ln w="24000">
              <a:solidFill>
                <a:srgbClr val="059669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strRef>
              <c:f>Reporte!$C$64:$C$67</c:f>
              <c:strCache>
                <c:ptCount val="3"/>
                <c:pt idx="2">
                  <c:v>M-2 · 25 golpes</c:v>
                </c:pt>
              </c:strCache>
            </c:strRef>
          </c:xVal>
          <c:yVal>
            <c:numRef>
              <c:f>Reporte!$I$64:$I$67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C8-40BC-A86A-8F3548559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Penetración (pulg)</a:t>
                </a:r>
              </a:p>
            </c:rich>
          </c:tx>
          <c:overlay val="1"/>
        </c:title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Carga (kg)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77</xdr:row>
      <xdr:rowOff>0</xdr:rowOff>
    </xdr:from>
    <xdr:ext cx="5903999" cy="43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8"/>
  <sheetViews>
    <sheetView showGridLines="0" tabSelected="1" workbookViewId="0"/>
  </sheetViews>
  <sheetFormatPr baseColWidth="10" defaultColWidth="8.88671875" defaultRowHeight="14.4" x14ac:dyDescent="0.3"/>
  <cols>
    <col min="1" max="1" width="30" customWidth="1"/>
    <col min="2" max="9" width="11" customWidth="1"/>
  </cols>
  <sheetData>
    <row r="1" spans="1:9" ht="19.95" customHeight="1" x14ac:dyDescent="0.3">
      <c r="C1" s="24" t="s">
        <v>0</v>
      </c>
      <c r="D1" s="18"/>
      <c r="E1" s="18"/>
      <c r="F1" s="18"/>
      <c r="G1" s="18"/>
    </row>
    <row r="2" spans="1:9" ht="15" customHeight="1" x14ac:dyDescent="0.3">
      <c r="C2" s="22" t="s">
        <v>1</v>
      </c>
      <c r="D2" s="18"/>
      <c r="E2" s="18"/>
      <c r="F2" s="18"/>
      <c r="G2" s="18"/>
    </row>
    <row r="3" spans="1:9" ht="12" customHeight="1" x14ac:dyDescent="0.3">
      <c r="C3" s="23" t="s">
        <v>2</v>
      </c>
      <c r="D3" s="18"/>
      <c r="E3" s="18"/>
      <c r="F3" s="18"/>
      <c r="G3" s="18"/>
    </row>
    <row r="4" spans="1:9" ht="12" customHeight="1" x14ac:dyDescent="0.3">
      <c r="C4" s="23" t="s">
        <v>3</v>
      </c>
      <c r="D4" s="18"/>
      <c r="E4" s="18"/>
      <c r="F4" s="18"/>
      <c r="G4" s="18"/>
    </row>
    <row r="5" spans="1:9" ht="13.95" customHeight="1" x14ac:dyDescent="0.3">
      <c r="C5" s="22" t="s">
        <v>4</v>
      </c>
      <c r="D5" s="18"/>
      <c r="E5" s="18"/>
      <c r="F5" s="18"/>
      <c r="G5" s="18"/>
    </row>
    <row r="6" spans="1:9" ht="12" customHeight="1" x14ac:dyDescent="0.3">
      <c r="C6" s="21" t="s">
        <v>5</v>
      </c>
      <c r="D6" s="18"/>
      <c r="E6" s="18"/>
      <c r="F6" s="18"/>
      <c r="G6" s="18"/>
    </row>
    <row r="7" spans="1:9" ht="4.05" customHeight="1" x14ac:dyDescent="0.3"/>
    <row r="8" spans="1:9" ht="19.95" customHeight="1" x14ac:dyDescent="0.3">
      <c r="A8" s="12" t="s">
        <v>6</v>
      </c>
      <c r="B8" s="25"/>
      <c r="C8" s="26"/>
      <c r="D8" s="26"/>
      <c r="E8" s="26"/>
      <c r="F8" s="26"/>
      <c r="G8" s="26"/>
      <c r="H8" s="26"/>
      <c r="I8" s="26"/>
    </row>
    <row r="9" spans="1:9" ht="6" customHeight="1" x14ac:dyDescent="0.3"/>
    <row r="10" spans="1:9" ht="19.95" customHeight="1" x14ac:dyDescent="0.3">
      <c r="A10" s="1" t="s">
        <v>7</v>
      </c>
      <c r="B10" s="20"/>
      <c r="C10" s="20"/>
      <c r="D10" s="20"/>
      <c r="E10" s="20"/>
      <c r="F10" s="20"/>
      <c r="G10" s="20"/>
      <c r="H10" s="20"/>
      <c r="I10" s="20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0"/>
      <c r="C12" s="31"/>
      <c r="D12" s="32"/>
      <c r="E12" s="13" t="s">
        <v>14</v>
      </c>
      <c r="F12" s="14"/>
      <c r="G12" s="27"/>
      <c r="H12" s="18"/>
      <c r="I12" s="18"/>
    </row>
    <row r="13" spans="1:9" ht="19.95" customHeight="1" x14ac:dyDescent="0.3">
      <c r="A13" s="1" t="s">
        <v>15</v>
      </c>
      <c r="B13" s="1" t="s">
        <v>16</v>
      </c>
      <c r="C13" s="28"/>
      <c r="D13" s="29"/>
      <c r="E13" s="1" t="s">
        <v>17</v>
      </c>
      <c r="F13" s="28"/>
      <c r="G13" s="29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15" t="s">
        <v>24</v>
      </c>
      <c r="B16" s="16"/>
      <c r="C16" s="16"/>
      <c r="D16" s="16"/>
      <c r="E16" s="16"/>
      <c r="F16" s="16"/>
      <c r="G16" s="16"/>
      <c r="H16" s="16"/>
      <c r="I16" s="16"/>
    </row>
    <row r="17" spans="1:9" x14ac:dyDescent="0.3">
      <c r="A17" s="1" t="s">
        <v>25</v>
      </c>
      <c r="B17" s="3"/>
      <c r="C17" s="1" t="s">
        <v>26</v>
      </c>
      <c r="D17" s="3"/>
      <c r="G17" s="1" t="s">
        <v>27</v>
      </c>
      <c r="H17" s="3"/>
    </row>
    <row r="18" spans="1:9" x14ac:dyDescent="0.3">
      <c r="A18" s="1" t="s">
        <v>28</v>
      </c>
      <c r="B18" s="3"/>
      <c r="C18" s="1" t="s">
        <v>29</v>
      </c>
      <c r="D18" s="3"/>
    </row>
    <row r="19" spans="1:9" ht="6" customHeight="1" x14ac:dyDescent="0.3"/>
    <row r="20" spans="1:9" x14ac:dyDescent="0.3">
      <c r="A20" s="15" t="s">
        <v>30</v>
      </c>
      <c r="B20" s="16"/>
      <c r="C20" s="16"/>
      <c r="D20" s="16"/>
      <c r="E20" s="16"/>
      <c r="F20" s="16"/>
      <c r="G20" s="16"/>
      <c r="H20" s="16"/>
      <c r="I20" s="16"/>
    </row>
    <row r="21" spans="1:9" ht="16.05" customHeight="1" x14ac:dyDescent="0.3">
      <c r="A21" s="4" t="s">
        <v>31</v>
      </c>
      <c r="B21" s="4" t="s">
        <v>32</v>
      </c>
      <c r="C21" s="4" t="s">
        <v>33</v>
      </c>
      <c r="D21" s="4" t="s">
        <v>34</v>
      </c>
    </row>
    <row r="22" spans="1:9" x14ac:dyDescent="0.3">
      <c r="A22" s="5" t="s">
        <v>35</v>
      </c>
      <c r="B22" s="5"/>
      <c r="C22" s="5"/>
      <c r="D22" s="5"/>
    </row>
    <row r="23" spans="1:9" x14ac:dyDescent="0.3">
      <c r="A23" s="5" t="s">
        <v>36</v>
      </c>
      <c r="B23" s="6"/>
      <c r="C23" s="6"/>
      <c r="D23" s="6"/>
    </row>
    <row r="24" spans="1:9" x14ac:dyDescent="0.3">
      <c r="A24" s="5" t="s">
        <v>37</v>
      </c>
      <c r="B24" s="6"/>
      <c r="C24" s="6"/>
      <c r="D24" s="6"/>
    </row>
    <row r="25" spans="1:9" x14ac:dyDescent="0.3">
      <c r="A25" s="5" t="s">
        <v>38</v>
      </c>
      <c r="B25" s="7" t="str">
        <f>IF(AND(N(B23)&gt;0,N(B24)&gt;0),ROUND(PI()*POWER(B24,2)*B23/4,1),"")</f>
        <v/>
      </c>
      <c r="C25" s="7" t="str">
        <f>IF(AND(N(C23)&gt;0,N(C24)&gt;0),ROUND(PI()*POWER(C24,2)*C23/4,1),"")</f>
        <v/>
      </c>
      <c r="D25" s="7" t="str">
        <f>IF(AND(N(D23)&gt;0,N(D24)&gt;0),ROUND(PI()*POWER(D24,2)*D23/4,1),"")</f>
        <v/>
      </c>
    </row>
    <row r="26" spans="1:9" x14ac:dyDescent="0.3">
      <c r="A26" s="5" t="s">
        <v>39</v>
      </c>
      <c r="B26" s="6"/>
      <c r="C26" s="6"/>
      <c r="D26" s="6"/>
    </row>
    <row r="27" spans="1:9" x14ac:dyDescent="0.3">
      <c r="A27" s="5" t="s">
        <v>40</v>
      </c>
      <c r="B27" s="6"/>
      <c r="C27" s="6"/>
      <c r="D27" s="6"/>
    </row>
    <row r="28" spans="1:9" x14ac:dyDescent="0.3">
      <c r="A28" s="5" t="s">
        <v>41</v>
      </c>
      <c r="B28" s="8" t="str">
        <f>IF(COUNT(B26:B27)=2,B26-B27,"")</f>
        <v/>
      </c>
      <c r="C28" s="8" t="str">
        <f>IF(COUNT(C26:C27)=2,C26-C27,"")</f>
        <v/>
      </c>
      <c r="D28" s="8" t="str">
        <f>IF(COUNT(D26:D27)=2,D26-D27,"")</f>
        <v/>
      </c>
    </row>
    <row r="29" spans="1:9" x14ac:dyDescent="0.3">
      <c r="A29" s="5" t="s">
        <v>42</v>
      </c>
      <c r="B29" s="9" t="str">
        <f>IF(AND(ISNUMBER(B28),N(B25)&gt;0),IFERROR(B28/B25,0),"")</f>
        <v/>
      </c>
      <c r="C29" s="9" t="str">
        <f>IF(AND(ISNUMBER(C28),N(C25)&gt;0),IFERROR(C28/C25,0),"")</f>
        <v/>
      </c>
      <c r="D29" s="9" t="str">
        <f>IF(AND(ISNUMBER(D28),N(D25)&gt;0),IFERROR(D28/D25,0),"")</f>
        <v/>
      </c>
    </row>
    <row r="30" spans="1:9" x14ac:dyDescent="0.3">
      <c r="A30" s="5" t="s">
        <v>43</v>
      </c>
      <c r="B30" s="5"/>
      <c r="C30" s="5"/>
      <c r="D30" s="5"/>
    </row>
    <row r="31" spans="1:9" x14ac:dyDescent="0.3">
      <c r="A31" s="5" t="s">
        <v>44</v>
      </c>
      <c r="B31" s="6"/>
      <c r="C31" s="6"/>
      <c r="D31" s="6"/>
    </row>
    <row r="32" spans="1:9" x14ac:dyDescent="0.3">
      <c r="A32" s="5" t="s">
        <v>45</v>
      </c>
      <c r="B32" s="6"/>
      <c r="C32" s="6"/>
      <c r="D32" s="6"/>
    </row>
    <row r="33" spans="1:9" x14ac:dyDescent="0.3">
      <c r="A33" s="5" t="s">
        <v>46</v>
      </c>
      <c r="B33" s="6"/>
      <c r="C33" s="6"/>
      <c r="D33" s="6"/>
    </row>
    <row r="34" spans="1:9" x14ac:dyDescent="0.3">
      <c r="A34" s="5" t="s">
        <v>47</v>
      </c>
      <c r="B34" s="8" t="str">
        <f>IF(COUNT(B32:B33)=2,B32-B33,"")</f>
        <v/>
      </c>
      <c r="C34" s="8" t="str">
        <f>IF(COUNT(C32:C33)=2,C32-C33,"")</f>
        <v/>
      </c>
      <c r="D34" s="8" t="str">
        <f>IF(COUNT(D32:D33)=2,D32-D33,"")</f>
        <v/>
      </c>
    </row>
    <row r="35" spans="1:9" x14ac:dyDescent="0.3">
      <c r="A35" s="5" t="s">
        <v>48</v>
      </c>
      <c r="B35" s="8" t="str">
        <f>IF(COUNT(B31,B33)=2,B33-B31,"")</f>
        <v/>
      </c>
      <c r="C35" s="8" t="str">
        <f>IF(COUNT(C31,C33)=2,C33-C31,"")</f>
        <v/>
      </c>
      <c r="D35" s="8" t="str">
        <f>IF(COUNT(D31,D33)=2,D33-D31,"")</f>
        <v/>
      </c>
    </row>
    <row r="36" spans="1:9" x14ac:dyDescent="0.3">
      <c r="A36" s="5" t="s">
        <v>49</v>
      </c>
      <c r="B36" s="8" t="str">
        <f>IF(AND(ISNUMBER(B35),N(B35)&gt;0),IFERROR(B34/B35*100,0),"")</f>
        <v/>
      </c>
      <c r="C36" s="8" t="str">
        <f>IF(AND(ISNUMBER(C35),N(C35)&gt;0),IFERROR(C34/C35*100,0),"")</f>
        <v/>
      </c>
      <c r="D36" s="8" t="str">
        <f>IF(AND(ISNUMBER(D35),N(D35)&gt;0),IFERROR(D34/D35*100,0),"")</f>
        <v/>
      </c>
    </row>
    <row r="37" spans="1:9" x14ac:dyDescent="0.3">
      <c r="A37" s="5" t="s">
        <v>50</v>
      </c>
      <c r="B37" s="9" t="str">
        <f>IF(AND(ISNUMBER(B36),ISNUMBER(B29)),IFERROR(B29/(1+B36/100),0),"")</f>
        <v/>
      </c>
      <c r="C37" s="9" t="str">
        <f>IF(AND(ISNUMBER(C36),ISNUMBER(C29)),IFERROR(C29/(1+C36/100),0),"")</f>
        <v/>
      </c>
      <c r="D37" s="9" t="str">
        <f>IF(AND(ISNUMBER(D36),ISNUMBER(D29)),IFERROR(D29/(1+D36/100),0),"")</f>
        <v/>
      </c>
    </row>
    <row r="38" spans="1:9" ht="6" customHeight="1" x14ac:dyDescent="0.3"/>
    <row r="39" spans="1:9" x14ac:dyDescent="0.3">
      <c r="A39" s="15" t="s">
        <v>51</v>
      </c>
      <c r="B39" s="16"/>
      <c r="C39" s="16"/>
      <c r="D39" s="16"/>
      <c r="E39" s="16"/>
      <c r="F39" s="16"/>
      <c r="G39" s="16"/>
      <c r="H39" s="16"/>
      <c r="I39" s="16"/>
    </row>
    <row r="40" spans="1:9" ht="24" x14ac:dyDescent="0.3">
      <c r="A40" s="4" t="s">
        <v>31</v>
      </c>
      <c r="B40" s="4" t="s">
        <v>32</v>
      </c>
      <c r="C40" s="4" t="s">
        <v>33</v>
      </c>
      <c r="D40" s="4" t="s">
        <v>34</v>
      </c>
    </row>
    <row r="41" spans="1:9" x14ac:dyDescent="0.3">
      <c r="A41" s="5" t="s">
        <v>52</v>
      </c>
      <c r="B41" s="6"/>
      <c r="C41" s="6"/>
      <c r="D41" s="6"/>
    </row>
    <row r="42" spans="1:9" x14ac:dyDescent="0.3">
      <c r="A42" s="5" t="s">
        <v>53</v>
      </c>
      <c r="B42" s="8" t="str">
        <f>IF(ISNUMBER(B26),B26,"")</f>
        <v/>
      </c>
      <c r="C42" s="8" t="str">
        <f>IF(ISNUMBER(C26),C26,"")</f>
        <v/>
      </c>
      <c r="D42" s="8" t="str">
        <f>IF(ISNUMBER(D26),D26,"")</f>
        <v/>
      </c>
    </row>
    <row r="43" spans="1:9" x14ac:dyDescent="0.3">
      <c r="A43" s="5" t="s">
        <v>54</v>
      </c>
      <c r="B43" s="8" t="str">
        <f>IF(AND(ISNUMBER(B41),N(B26-B27)&gt;0),IFERROR((B41-B26)/(B26-B27)*100,0),"")</f>
        <v/>
      </c>
      <c r="C43" s="8" t="str">
        <f>IF(AND(ISNUMBER(C41),N(C26-C27)&gt;0),IFERROR((C41-C26)/(C26-C27)*100,0),"")</f>
        <v/>
      </c>
      <c r="D43" s="8" t="str">
        <f>IF(AND(ISNUMBER(D41),N(D26-D27)&gt;0),IFERROR((D41-D26)/(D26-D27)*100,0),"")</f>
        <v/>
      </c>
    </row>
    <row r="44" spans="1:9" ht="6" customHeight="1" x14ac:dyDescent="0.3"/>
    <row r="45" spans="1:9" x14ac:dyDescent="0.3">
      <c r="A45" s="15" t="s">
        <v>55</v>
      </c>
      <c r="B45" s="16"/>
      <c r="C45" s="16"/>
      <c r="D45" s="16"/>
      <c r="E45" s="16"/>
      <c r="F45" s="16"/>
      <c r="G45" s="16"/>
      <c r="H45" s="16"/>
      <c r="I45" s="16"/>
    </row>
    <row r="46" spans="1:9" ht="16.05" customHeight="1" x14ac:dyDescent="0.3">
      <c r="A46" s="4" t="s">
        <v>56</v>
      </c>
      <c r="B46" s="4" t="s">
        <v>57</v>
      </c>
      <c r="C46" s="4" t="s">
        <v>58</v>
      </c>
      <c r="D46" s="4" t="s">
        <v>59</v>
      </c>
      <c r="E46" s="4" t="s">
        <v>60</v>
      </c>
      <c r="F46" s="4" t="s">
        <v>61</v>
      </c>
      <c r="G46" s="4" t="s">
        <v>62</v>
      </c>
    </row>
    <row r="47" spans="1:9" x14ac:dyDescent="0.3">
      <c r="A47" s="5" t="s">
        <v>63</v>
      </c>
      <c r="B47" s="6"/>
      <c r="C47" s="6"/>
      <c r="D47" s="6"/>
      <c r="E47" s="8" t="str">
        <f t="shared" ref="E47:G51" si="0">IF(AND(ISNUMBER(B47),N($H$17)&gt;0),IFERROR(B47/25.4/$H$17*100,0),"")</f>
        <v/>
      </c>
      <c r="F47" s="8" t="str">
        <f t="shared" si="0"/>
        <v/>
      </c>
      <c r="G47" s="8" t="str">
        <f t="shared" si="0"/>
        <v/>
      </c>
    </row>
    <row r="48" spans="1:9" x14ac:dyDescent="0.3">
      <c r="A48" s="5" t="s">
        <v>64</v>
      </c>
      <c r="B48" s="6"/>
      <c r="C48" s="6"/>
      <c r="D48" s="6"/>
      <c r="E48" s="8" t="str">
        <f t="shared" si="0"/>
        <v/>
      </c>
      <c r="F48" s="8" t="str">
        <f t="shared" si="0"/>
        <v/>
      </c>
      <c r="G48" s="8" t="str">
        <f t="shared" si="0"/>
        <v/>
      </c>
    </row>
    <row r="49" spans="1:9" x14ac:dyDescent="0.3">
      <c r="A49" s="5" t="s">
        <v>65</v>
      </c>
      <c r="B49" s="6"/>
      <c r="C49" s="6"/>
      <c r="D49" s="6"/>
      <c r="E49" s="8" t="str">
        <f t="shared" si="0"/>
        <v/>
      </c>
      <c r="F49" s="8" t="str">
        <f t="shared" si="0"/>
        <v/>
      </c>
      <c r="G49" s="8" t="str">
        <f t="shared" si="0"/>
        <v/>
      </c>
    </row>
    <row r="50" spans="1:9" x14ac:dyDescent="0.3">
      <c r="A50" s="5" t="s">
        <v>66</v>
      </c>
      <c r="B50" s="6"/>
      <c r="C50" s="6"/>
      <c r="D50" s="6"/>
      <c r="E50" s="8" t="str">
        <f t="shared" si="0"/>
        <v/>
      </c>
      <c r="F50" s="8" t="str">
        <f t="shared" si="0"/>
        <v/>
      </c>
      <c r="G50" s="8" t="str">
        <f t="shared" si="0"/>
        <v/>
      </c>
    </row>
    <row r="51" spans="1:9" x14ac:dyDescent="0.3">
      <c r="A51" s="5" t="s">
        <v>67</v>
      </c>
      <c r="B51" s="6"/>
      <c r="C51" s="6"/>
      <c r="D51" s="6"/>
      <c r="E51" s="8" t="str">
        <f t="shared" si="0"/>
        <v/>
      </c>
      <c r="F51" s="8" t="str">
        <f t="shared" si="0"/>
        <v/>
      </c>
      <c r="G51" s="8" t="str">
        <f t="shared" si="0"/>
        <v/>
      </c>
    </row>
    <row r="52" spans="1:9" ht="6" customHeight="1" x14ac:dyDescent="0.3"/>
    <row r="53" spans="1:9" x14ac:dyDescent="0.3">
      <c r="A53" s="15" t="s">
        <v>68</v>
      </c>
      <c r="B53" s="16"/>
      <c r="C53" s="16"/>
      <c r="D53" s="16"/>
      <c r="E53" s="16"/>
      <c r="F53" s="16"/>
      <c r="G53" s="16"/>
      <c r="H53" s="16"/>
      <c r="I53" s="16"/>
    </row>
    <row r="54" spans="1:9" ht="16.05" customHeight="1" x14ac:dyDescent="0.3">
      <c r="A54" s="4" t="s">
        <v>56</v>
      </c>
      <c r="B54" s="4" t="s">
        <v>69</v>
      </c>
      <c r="C54" s="4" t="s">
        <v>70</v>
      </c>
      <c r="D54" s="4" t="s">
        <v>71</v>
      </c>
      <c r="E54" s="4" t="s">
        <v>72</v>
      </c>
      <c r="F54" s="4" t="s">
        <v>73</v>
      </c>
      <c r="G54" s="4" t="s">
        <v>74</v>
      </c>
      <c r="H54" s="4" t="s">
        <v>75</v>
      </c>
      <c r="I54" s="4" t="s">
        <v>76</v>
      </c>
    </row>
    <row r="55" spans="1:9" x14ac:dyDescent="0.3">
      <c r="A55" s="5" t="s">
        <v>77</v>
      </c>
      <c r="B55" s="6">
        <v>0.64</v>
      </c>
      <c r="C55" s="10">
        <v>2.5000000000000001E-2</v>
      </c>
      <c r="D55" s="6"/>
      <c r="E55" s="8" t="str">
        <f t="shared" ref="E55:E63" si="1">IF(AND(ISNUMBER(D55),N($D$17)&gt;0),IFERROR(D55*$B$17*0.453592,0),"")</f>
        <v/>
      </c>
      <c r="F55" s="6"/>
      <c r="G55" s="8" t="str">
        <f t="shared" ref="G55:G63" si="2">IF(AND(ISNUMBER(F55),N($D$17)&gt;0),IFERROR(F55*$B$17*0.453592,0),"")</f>
        <v/>
      </c>
      <c r="H55" s="6"/>
      <c r="I55" s="8" t="str">
        <f t="shared" ref="I55:I63" si="3">IF(AND(ISNUMBER(H55),N($D$17)&gt;0),IFERROR(H55*$B$17*0.453592,0),"")</f>
        <v/>
      </c>
    </row>
    <row r="56" spans="1:9" x14ac:dyDescent="0.3">
      <c r="A56" s="5" t="s">
        <v>78</v>
      </c>
      <c r="B56" s="6">
        <v>1.27</v>
      </c>
      <c r="C56" s="10">
        <v>0.05</v>
      </c>
      <c r="D56" s="6"/>
      <c r="E56" s="8" t="str">
        <f t="shared" si="1"/>
        <v/>
      </c>
      <c r="F56" s="6"/>
      <c r="G56" s="8" t="str">
        <f t="shared" si="2"/>
        <v/>
      </c>
      <c r="H56" s="6"/>
      <c r="I56" s="8" t="str">
        <f t="shared" si="3"/>
        <v/>
      </c>
    </row>
    <row r="57" spans="1:9" x14ac:dyDescent="0.3">
      <c r="A57" s="5" t="s">
        <v>79</v>
      </c>
      <c r="B57" s="6">
        <v>1.91</v>
      </c>
      <c r="C57" s="10">
        <v>7.4999999999999997E-2</v>
      </c>
      <c r="D57" s="6"/>
      <c r="E57" s="8" t="str">
        <f t="shared" si="1"/>
        <v/>
      </c>
      <c r="F57" s="6"/>
      <c r="G57" s="8" t="str">
        <f t="shared" si="2"/>
        <v/>
      </c>
      <c r="H57" s="6"/>
      <c r="I57" s="8" t="str">
        <f t="shared" si="3"/>
        <v/>
      </c>
    </row>
    <row r="58" spans="1:9" x14ac:dyDescent="0.3">
      <c r="A58" s="5" t="s">
        <v>80</v>
      </c>
      <c r="B58" s="6">
        <v>2.54</v>
      </c>
      <c r="C58" s="10">
        <v>0.1</v>
      </c>
      <c r="D58" s="6"/>
      <c r="E58" s="8" t="str">
        <f t="shared" si="1"/>
        <v/>
      </c>
      <c r="F58" s="6"/>
      <c r="G58" s="8" t="str">
        <f t="shared" si="2"/>
        <v/>
      </c>
      <c r="H58" s="6"/>
      <c r="I58" s="8" t="str">
        <f t="shared" si="3"/>
        <v/>
      </c>
    </row>
    <row r="59" spans="1:9" x14ac:dyDescent="0.3">
      <c r="A59" s="5" t="s">
        <v>81</v>
      </c>
      <c r="B59" s="6">
        <v>3.18</v>
      </c>
      <c r="C59" s="10">
        <v>0.125</v>
      </c>
      <c r="D59" s="6"/>
      <c r="E59" s="8" t="str">
        <f t="shared" si="1"/>
        <v/>
      </c>
      <c r="F59" s="6"/>
      <c r="G59" s="8" t="str">
        <f t="shared" si="2"/>
        <v/>
      </c>
      <c r="H59" s="6"/>
      <c r="I59" s="8" t="str">
        <f t="shared" si="3"/>
        <v/>
      </c>
    </row>
    <row r="60" spans="1:9" x14ac:dyDescent="0.3">
      <c r="A60" s="5" t="s">
        <v>82</v>
      </c>
      <c r="B60" s="6">
        <v>3.81</v>
      </c>
      <c r="C60" s="10">
        <v>0.15</v>
      </c>
      <c r="D60" s="6"/>
      <c r="E60" s="8" t="str">
        <f t="shared" si="1"/>
        <v/>
      </c>
      <c r="F60" s="6"/>
      <c r="G60" s="8" t="str">
        <f t="shared" si="2"/>
        <v/>
      </c>
      <c r="H60" s="6"/>
      <c r="I60" s="8" t="str">
        <f t="shared" si="3"/>
        <v/>
      </c>
    </row>
    <row r="61" spans="1:9" x14ac:dyDescent="0.3">
      <c r="A61" s="5" t="s">
        <v>83</v>
      </c>
      <c r="B61" s="6">
        <v>5.08</v>
      </c>
      <c r="C61" s="10">
        <v>0.2</v>
      </c>
      <c r="D61" s="6"/>
      <c r="E61" s="8" t="str">
        <f t="shared" si="1"/>
        <v/>
      </c>
      <c r="F61" s="6"/>
      <c r="G61" s="8" t="str">
        <f t="shared" si="2"/>
        <v/>
      </c>
      <c r="H61" s="6"/>
      <c r="I61" s="8" t="str">
        <f t="shared" si="3"/>
        <v/>
      </c>
    </row>
    <row r="62" spans="1:9" x14ac:dyDescent="0.3">
      <c r="A62" s="5" t="s">
        <v>84</v>
      </c>
      <c r="B62" s="6">
        <v>7.62</v>
      </c>
      <c r="C62" s="10">
        <v>0.3</v>
      </c>
      <c r="D62" s="6"/>
      <c r="E62" s="8" t="str">
        <f t="shared" si="1"/>
        <v/>
      </c>
      <c r="F62" s="6"/>
      <c r="G62" s="8" t="str">
        <f t="shared" si="2"/>
        <v/>
      </c>
      <c r="H62" s="6"/>
      <c r="I62" s="8" t="str">
        <f t="shared" si="3"/>
        <v/>
      </c>
    </row>
    <row r="63" spans="1:9" x14ac:dyDescent="0.3">
      <c r="A63" s="5" t="s">
        <v>85</v>
      </c>
      <c r="B63" s="6">
        <v>10.16</v>
      </c>
      <c r="C63" s="10">
        <v>0.4</v>
      </c>
      <c r="D63" s="6"/>
      <c r="E63" s="8" t="str">
        <f t="shared" si="1"/>
        <v/>
      </c>
      <c r="F63" s="6"/>
      <c r="G63" s="8" t="str">
        <f t="shared" si="2"/>
        <v/>
      </c>
      <c r="H63" s="6"/>
      <c r="I63" s="8" t="str">
        <f t="shared" si="3"/>
        <v/>
      </c>
    </row>
    <row r="64" spans="1:9" ht="6" customHeight="1" x14ac:dyDescent="0.3"/>
    <row r="65" spans="1:9" x14ac:dyDescent="0.3">
      <c r="A65" s="15" t="s">
        <v>86</v>
      </c>
      <c r="B65" s="16"/>
      <c r="C65" s="16"/>
      <c r="D65" s="16"/>
      <c r="E65" s="16"/>
      <c r="F65" s="16"/>
      <c r="G65" s="16"/>
      <c r="H65" s="16"/>
      <c r="I65" s="16"/>
    </row>
    <row r="66" spans="1:9" ht="16.05" customHeight="1" x14ac:dyDescent="0.3">
      <c r="A66" s="4" t="s">
        <v>31</v>
      </c>
      <c r="B66" s="4" t="s">
        <v>32</v>
      </c>
      <c r="C66" s="4" t="s">
        <v>33</v>
      </c>
      <c r="D66" s="4" t="s">
        <v>34</v>
      </c>
    </row>
    <row r="67" spans="1:9" x14ac:dyDescent="0.3">
      <c r="A67" s="5" t="s">
        <v>50</v>
      </c>
      <c r="B67" s="9" t="str">
        <f>IF(ISNUMBER(B37),B37,"")</f>
        <v/>
      </c>
      <c r="C67" s="9" t="str">
        <f>IF(ISNUMBER(C37),C37,"")</f>
        <v/>
      </c>
      <c r="D67" s="9" t="str">
        <f>IF(ISNUMBER(D37),D37,"")</f>
        <v/>
      </c>
    </row>
    <row r="68" spans="1:9" x14ac:dyDescent="0.3">
      <c r="A68" s="5" t="s">
        <v>87</v>
      </c>
      <c r="B68" s="8" t="str">
        <f>IF(ISNUMBER(B36),B36,"")</f>
        <v/>
      </c>
      <c r="C68" s="8" t="str">
        <f>IF(ISNUMBER(C36),C36,"")</f>
        <v/>
      </c>
      <c r="D68" s="8" t="str">
        <f>IF(ISNUMBER(D36),D36,"")</f>
        <v/>
      </c>
    </row>
    <row r="69" spans="1:9" x14ac:dyDescent="0.3">
      <c r="A69" s="5" t="s">
        <v>88</v>
      </c>
      <c r="B69" s="8" t="str">
        <f>IF(ISNUMBER(E51),E51,"")</f>
        <v/>
      </c>
      <c r="C69" s="8" t="str">
        <f>IF(ISNUMBER(F51),F51,"")</f>
        <v/>
      </c>
      <c r="D69" s="8" t="str">
        <f>IF(ISNUMBER(G51),G51,"")</f>
        <v/>
      </c>
    </row>
    <row r="70" spans="1:9" x14ac:dyDescent="0.3">
      <c r="A70" s="5" t="s">
        <v>54</v>
      </c>
      <c r="B70" s="8" t="str">
        <f>IF(ISNUMBER(B43),B43,"")</f>
        <v/>
      </c>
      <c r="C70" s="8" t="str">
        <f>IF(ISNUMBER(C43),C43,"")</f>
        <v/>
      </c>
      <c r="D70" s="8" t="str">
        <f>IF(ISNUMBER(D43),D43,"")</f>
        <v/>
      </c>
    </row>
    <row r="71" spans="1:9" x14ac:dyDescent="0.3">
      <c r="A71" s="5" t="s">
        <v>89</v>
      </c>
      <c r="B71" s="8" t="str">
        <f>IF(AND(ISNUMBER(E58),N($D$18)&gt;0),IFERROR(E58/$B$18*100,0),"")</f>
        <v/>
      </c>
      <c r="C71" s="8" t="str">
        <f>IF(AND(ISNUMBER(G58),N($D$18)&gt;0),IFERROR(G58/$B$18*100,0),"")</f>
        <v/>
      </c>
      <c r="D71" s="8" t="str">
        <f>IF(AND(ISNUMBER(I58),N($D$18)&gt;0),IFERROR(I58/$B$18*100,0),"")</f>
        <v/>
      </c>
    </row>
    <row r="72" spans="1:9" x14ac:dyDescent="0.3">
      <c r="A72" s="5" t="s">
        <v>90</v>
      </c>
      <c r="B72" s="8" t="str">
        <f>IF(AND(ISNUMBER(E61),N($D$18)&gt;0),IFERROR(E61/$D$18*100,0),"")</f>
        <v/>
      </c>
      <c r="C72" s="8" t="str">
        <f>IF(AND(ISNUMBER(G61),N($D$18)&gt;0),IFERROR(G61/$D$18*100,0),"")</f>
        <v/>
      </c>
      <c r="D72" s="8" t="str">
        <f>IF(AND(ISNUMBER(I61),N($D$18)&gt;0),IFERROR(I61/$D$18*100,0),"")</f>
        <v/>
      </c>
    </row>
    <row r="73" spans="1:9" x14ac:dyDescent="0.3">
      <c r="A73" s="5" t="s">
        <v>91</v>
      </c>
      <c r="B73" s="8" t="str">
        <f>IF(COUNT(B71,B72)=2,MAX(B71,B72),"")</f>
        <v/>
      </c>
      <c r="C73" s="8" t="str">
        <f>IF(COUNT(C71,C72)=2,MAX(C71,C72),"")</f>
        <v/>
      </c>
      <c r="D73" s="8" t="str">
        <f>IF(COUNT(D71,D72)=2,MAX(D71,D72),"")</f>
        <v/>
      </c>
    </row>
    <row r="74" spans="1:9" ht="6" customHeight="1" x14ac:dyDescent="0.3"/>
    <row r="75" spans="1:9" x14ac:dyDescent="0.3">
      <c r="A75" s="1" t="s">
        <v>92</v>
      </c>
      <c r="B75" s="19" t="str">
        <f>IF(COUNT(B73:D73)=0,"",MAX(B73:D73))</f>
        <v/>
      </c>
      <c r="C75" s="20"/>
      <c r="D75" s="20"/>
      <c r="E75" s="20"/>
      <c r="F75" s="20"/>
      <c r="G75" s="20"/>
      <c r="H75" s="20"/>
      <c r="I75" s="20"/>
    </row>
    <row r="76" spans="1:9" ht="6" customHeight="1" x14ac:dyDescent="0.3"/>
    <row r="77" spans="1:9" x14ac:dyDescent="0.3">
      <c r="A77" s="15" t="s">
        <v>93</v>
      </c>
      <c r="B77" s="16"/>
      <c r="C77" s="16"/>
      <c r="D77" s="16"/>
      <c r="E77" s="16"/>
      <c r="F77" s="16"/>
      <c r="G77" s="16"/>
      <c r="H77" s="16"/>
      <c r="I77" s="16"/>
    </row>
    <row r="107" spans="1:9" x14ac:dyDescent="0.3">
      <c r="A107" s="11"/>
      <c r="B107" s="11"/>
      <c r="C107" s="11"/>
      <c r="D107" s="11"/>
      <c r="E107" s="11"/>
      <c r="F107" s="11"/>
      <c r="G107" s="11"/>
      <c r="H107" s="11"/>
      <c r="I107" s="11"/>
    </row>
    <row r="108" spans="1:9" x14ac:dyDescent="0.3">
      <c r="A108" s="17" t="s">
        <v>94</v>
      </c>
      <c r="B108" s="18"/>
      <c r="C108" s="18"/>
      <c r="D108" s="17" t="s">
        <v>95</v>
      </c>
      <c r="E108" s="18"/>
      <c r="F108" s="18"/>
      <c r="G108" s="17" t="s">
        <v>96</v>
      </c>
      <c r="H108" s="18"/>
      <c r="I108" s="18"/>
    </row>
  </sheetData>
  <mergeCells count="25">
    <mergeCell ref="C1:G1"/>
    <mergeCell ref="A53:I53"/>
    <mergeCell ref="B8:I8"/>
    <mergeCell ref="A20:I20"/>
    <mergeCell ref="C2:G2"/>
    <mergeCell ref="B10:I10"/>
    <mergeCell ref="G12:I12"/>
    <mergeCell ref="F13:G13"/>
    <mergeCell ref="A39:I39"/>
    <mergeCell ref="A45:I45"/>
    <mergeCell ref="C13:D13"/>
    <mergeCell ref="B12:D12"/>
    <mergeCell ref="A16:I16"/>
    <mergeCell ref="C6:G6"/>
    <mergeCell ref="C5:G5"/>
    <mergeCell ref="C3:G3"/>
    <mergeCell ref="G108:I108"/>
    <mergeCell ref="C4:G4"/>
    <mergeCell ref="A77:I77"/>
    <mergeCell ref="D108:F108"/>
    <mergeCell ref="A8"/>
    <mergeCell ref="E12:F12"/>
    <mergeCell ref="A65:I65"/>
    <mergeCell ref="A108:C108"/>
    <mergeCell ref="B75:I75"/>
  </mergeCells>
  <pageMargins left="0.35" right="0.35" top="0.45" bottom="0.45" header="0.5" footer="0.5"/>
  <pageSetup paperSize="9" fitToHeight="0" orientation="portrait"/>
  <rowBreaks count="1" manualBreakCount="1">
    <brk id="7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4A3B8"/>
  </sheetPr>
  <dimension ref="A1:S4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97</v>
      </c>
      <c r="B1" t="s">
        <v>98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L1" t="s">
        <v>108</v>
      </c>
      <c r="M1" t="s">
        <v>109</v>
      </c>
      <c r="N1" t="s">
        <v>110</v>
      </c>
      <c r="O1" t="s">
        <v>111</v>
      </c>
      <c r="P1" t="s">
        <v>112</v>
      </c>
      <c r="Q1" t="s">
        <v>113</v>
      </c>
      <c r="R1" t="s">
        <v>114</v>
      </c>
      <c r="S1" t="s">
        <v>115</v>
      </c>
    </row>
    <row r="2" spans="1:19" x14ac:dyDescent="0.3">
      <c r="A2" t="s">
        <v>116</v>
      </c>
      <c r="B2" t="s">
        <v>117</v>
      </c>
      <c r="C2" t="s">
        <v>118</v>
      </c>
      <c r="D2" t="s">
        <v>119</v>
      </c>
      <c r="E2">
        <v>620</v>
      </c>
      <c r="F2">
        <v>460</v>
      </c>
      <c r="G2" t="s">
        <v>120</v>
      </c>
      <c r="L2" t="s">
        <v>121</v>
      </c>
      <c r="M2" t="s">
        <v>122</v>
      </c>
      <c r="N2" t="s">
        <v>123</v>
      </c>
      <c r="O2" t="s">
        <v>124</v>
      </c>
      <c r="P2" t="s">
        <v>125</v>
      </c>
      <c r="Q2" t="s">
        <v>126</v>
      </c>
      <c r="R2" t="s">
        <v>127</v>
      </c>
      <c r="S2">
        <v>1</v>
      </c>
    </row>
    <row r="3" spans="1:19" x14ac:dyDescent="0.3">
      <c r="A3" t="s">
        <v>116</v>
      </c>
      <c r="N3" t="s">
        <v>128</v>
      </c>
      <c r="O3" t="s">
        <v>124</v>
      </c>
      <c r="P3" t="s">
        <v>125</v>
      </c>
      <c r="Q3" t="s">
        <v>129</v>
      </c>
      <c r="R3" t="s">
        <v>130</v>
      </c>
      <c r="S3">
        <v>2</v>
      </c>
    </row>
    <row r="4" spans="1:19" x14ac:dyDescent="0.3">
      <c r="A4" t="s">
        <v>116</v>
      </c>
      <c r="N4" t="s">
        <v>131</v>
      </c>
      <c r="O4" t="s">
        <v>124</v>
      </c>
      <c r="P4" t="s">
        <v>125</v>
      </c>
      <c r="Q4" t="s">
        <v>132</v>
      </c>
      <c r="R4" t="s">
        <v>133</v>
      </c>
      <c r="S4">
        <v>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D93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134</v>
      </c>
      <c r="B1" t="s">
        <v>135</v>
      </c>
      <c r="C1" t="s">
        <v>99</v>
      </c>
      <c r="D1" t="s">
        <v>136</v>
      </c>
    </row>
    <row r="2" spans="1:4" x14ac:dyDescent="0.3">
      <c r="A2" t="s">
        <v>137</v>
      </c>
      <c r="B2" t="s">
        <v>138</v>
      </c>
      <c r="C2" t="s">
        <v>139</v>
      </c>
    </row>
    <row r="3" spans="1:4" x14ac:dyDescent="0.3">
      <c r="A3" t="s">
        <v>140</v>
      </c>
      <c r="B3" t="s">
        <v>141</v>
      </c>
      <c r="C3" t="s">
        <v>139</v>
      </c>
    </row>
    <row r="4" spans="1:4" x14ac:dyDescent="0.3">
      <c r="A4" t="s">
        <v>142</v>
      </c>
      <c r="B4" t="s">
        <v>143</v>
      </c>
      <c r="C4" t="s">
        <v>139</v>
      </c>
    </row>
    <row r="5" spans="1:4" x14ac:dyDescent="0.3">
      <c r="A5" t="s">
        <v>144</v>
      </c>
      <c r="B5" t="s">
        <v>145</v>
      </c>
      <c r="C5" t="s">
        <v>139</v>
      </c>
    </row>
    <row r="6" spans="1:4" x14ac:dyDescent="0.3">
      <c r="A6" t="s">
        <v>146</v>
      </c>
      <c r="B6" t="s">
        <v>147</v>
      </c>
      <c r="C6" t="s">
        <v>139</v>
      </c>
    </row>
    <row r="7" spans="1:4" x14ac:dyDescent="0.3">
      <c r="A7" t="s">
        <v>148</v>
      </c>
      <c r="B7" t="s">
        <v>149</v>
      </c>
      <c r="C7" t="s">
        <v>139</v>
      </c>
    </row>
    <row r="8" spans="1:4" x14ac:dyDescent="0.3">
      <c r="A8" t="s">
        <v>150</v>
      </c>
      <c r="B8" t="s">
        <v>151</v>
      </c>
      <c r="C8" t="s">
        <v>139</v>
      </c>
    </row>
    <row r="9" spans="1:4" x14ac:dyDescent="0.3">
      <c r="A9" t="s">
        <v>152</v>
      </c>
      <c r="B9" t="s">
        <v>153</v>
      </c>
      <c r="C9" t="s">
        <v>154</v>
      </c>
      <c r="D9" t="s">
        <v>155</v>
      </c>
    </row>
    <row r="10" spans="1:4" x14ac:dyDescent="0.3">
      <c r="A10" t="s">
        <v>156</v>
      </c>
      <c r="B10" t="s">
        <v>157</v>
      </c>
      <c r="C10" t="s">
        <v>158</v>
      </c>
      <c r="D10" t="s">
        <v>159</v>
      </c>
    </row>
    <row r="11" spans="1:4" x14ac:dyDescent="0.3">
      <c r="A11" t="s">
        <v>160</v>
      </c>
      <c r="B11" t="s">
        <v>161</v>
      </c>
      <c r="C11" t="s">
        <v>158</v>
      </c>
      <c r="D11" t="s">
        <v>159</v>
      </c>
    </row>
    <row r="12" spans="1:4" x14ac:dyDescent="0.3">
      <c r="A12" t="s">
        <v>162</v>
      </c>
      <c r="B12" t="s">
        <v>163</v>
      </c>
      <c r="C12" t="s">
        <v>139</v>
      </c>
    </row>
    <row r="13" spans="1:4" x14ac:dyDescent="0.3">
      <c r="A13" t="s">
        <v>164</v>
      </c>
      <c r="B13" t="s">
        <v>165</v>
      </c>
      <c r="C13" t="s">
        <v>139</v>
      </c>
    </row>
    <row r="14" spans="1:4" x14ac:dyDescent="0.3">
      <c r="A14" t="s">
        <v>166</v>
      </c>
      <c r="B14" t="s">
        <v>167</v>
      </c>
      <c r="C14" t="s">
        <v>139</v>
      </c>
    </row>
    <row r="15" spans="1:4" x14ac:dyDescent="0.3">
      <c r="A15" t="s">
        <v>168</v>
      </c>
      <c r="B15" t="s">
        <v>169</v>
      </c>
      <c r="C15" t="s">
        <v>139</v>
      </c>
    </row>
    <row r="16" spans="1:4" x14ac:dyDescent="0.3">
      <c r="A16" t="s">
        <v>170</v>
      </c>
      <c r="B16" t="s">
        <v>171</v>
      </c>
      <c r="C16" t="s">
        <v>139</v>
      </c>
    </row>
    <row r="17" spans="1:4" x14ac:dyDescent="0.3">
      <c r="A17" t="s">
        <v>172</v>
      </c>
      <c r="B17" t="s">
        <v>173</v>
      </c>
      <c r="C17" t="s">
        <v>158</v>
      </c>
      <c r="D17" t="s">
        <v>174</v>
      </c>
    </row>
    <row r="18" spans="1:4" x14ac:dyDescent="0.3">
      <c r="A18" t="s">
        <v>175</v>
      </c>
      <c r="B18" t="s">
        <v>176</v>
      </c>
      <c r="C18" t="s">
        <v>158</v>
      </c>
      <c r="D18" t="s">
        <v>159</v>
      </c>
    </row>
    <row r="19" spans="1:4" x14ac:dyDescent="0.3">
      <c r="A19" t="s">
        <v>177</v>
      </c>
      <c r="B19" t="s">
        <v>178</v>
      </c>
      <c r="C19" t="s">
        <v>158</v>
      </c>
      <c r="D19" t="s">
        <v>179</v>
      </c>
    </row>
    <row r="20" spans="1:4" x14ac:dyDescent="0.3">
      <c r="A20" t="s">
        <v>180</v>
      </c>
      <c r="B20" t="s">
        <v>181</v>
      </c>
      <c r="C20" t="s">
        <v>158</v>
      </c>
      <c r="D20" t="s">
        <v>159</v>
      </c>
    </row>
    <row r="21" spans="1:4" x14ac:dyDescent="0.3">
      <c r="A21" t="s">
        <v>182</v>
      </c>
      <c r="B21" t="s">
        <v>183</v>
      </c>
      <c r="C21" t="s">
        <v>158</v>
      </c>
      <c r="D21" t="s">
        <v>159</v>
      </c>
    </row>
    <row r="22" spans="1:4" x14ac:dyDescent="0.3">
      <c r="A22" t="s">
        <v>184</v>
      </c>
      <c r="B22" t="s">
        <v>185</v>
      </c>
      <c r="C22" t="s">
        <v>139</v>
      </c>
    </row>
    <row r="23" spans="1:4" x14ac:dyDescent="0.3">
      <c r="A23" t="s">
        <v>186</v>
      </c>
      <c r="B23" t="s">
        <v>187</v>
      </c>
      <c r="C23" t="s">
        <v>139</v>
      </c>
    </row>
    <row r="24" spans="1:4" x14ac:dyDescent="0.3">
      <c r="A24" t="s">
        <v>188</v>
      </c>
      <c r="B24" t="s">
        <v>189</v>
      </c>
      <c r="C24" t="s">
        <v>139</v>
      </c>
    </row>
    <row r="25" spans="1:4" x14ac:dyDescent="0.3">
      <c r="A25" t="s">
        <v>190</v>
      </c>
      <c r="B25" t="s">
        <v>191</v>
      </c>
      <c r="C25" t="s">
        <v>158</v>
      </c>
      <c r="D25" t="s">
        <v>159</v>
      </c>
    </row>
    <row r="26" spans="1:4" x14ac:dyDescent="0.3">
      <c r="A26" t="s">
        <v>192</v>
      </c>
      <c r="B26" t="s">
        <v>193</v>
      </c>
      <c r="C26" t="s">
        <v>158</v>
      </c>
      <c r="D26" t="s">
        <v>159</v>
      </c>
    </row>
    <row r="27" spans="1:4" x14ac:dyDescent="0.3">
      <c r="A27" t="s">
        <v>194</v>
      </c>
      <c r="B27" t="s">
        <v>195</v>
      </c>
      <c r="C27" t="s">
        <v>158</v>
      </c>
      <c r="D27" t="s">
        <v>159</v>
      </c>
    </row>
    <row r="28" spans="1:4" x14ac:dyDescent="0.3">
      <c r="A28" t="s">
        <v>196</v>
      </c>
      <c r="B28" t="s">
        <v>197</v>
      </c>
      <c r="C28" t="s">
        <v>158</v>
      </c>
      <c r="D28" t="s">
        <v>159</v>
      </c>
    </row>
    <row r="29" spans="1:4" x14ac:dyDescent="0.3">
      <c r="A29" t="s">
        <v>198</v>
      </c>
      <c r="B29" t="s">
        <v>199</v>
      </c>
      <c r="C29" t="s">
        <v>158</v>
      </c>
      <c r="D29" t="s">
        <v>159</v>
      </c>
    </row>
    <row r="30" spans="1:4" x14ac:dyDescent="0.3">
      <c r="A30" t="s">
        <v>200</v>
      </c>
      <c r="B30" t="s">
        <v>201</v>
      </c>
      <c r="C30" t="s">
        <v>158</v>
      </c>
      <c r="D30" t="s">
        <v>159</v>
      </c>
    </row>
    <row r="31" spans="1:4" x14ac:dyDescent="0.3">
      <c r="A31" t="s">
        <v>202</v>
      </c>
      <c r="B31" t="s">
        <v>203</v>
      </c>
      <c r="C31" t="s">
        <v>158</v>
      </c>
      <c r="D31" t="s">
        <v>159</v>
      </c>
    </row>
    <row r="32" spans="1:4" x14ac:dyDescent="0.3">
      <c r="A32" t="s">
        <v>204</v>
      </c>
      <c r="B32" t="s">
        <v>205</v>
      </c>
      <c r="C32" t="s">
        <v>158</v>
      </c>
      <c r="D32" t="s">
        <v>159</v>
      </c>
    </row>
    <row r="33" spans="1:4" x14ac:dyDescent="0.3">
      <c r="A33" t="s">
        <v>206</v>
      </c>
      <c r="B33" t="s">
        <v>207</v>
      </c>
      <c r="C33" t="s">
        <v>158</v>
      </c>
      <c r="D33" t="s">
        <v>159</v>
      </c>
    </row>
    <row r="34" spans="1:4" x14ac:dyDescent="0.3">
      <c r="A34" t="s">
        <v>208</v>
      </c>
      <c r="B34" t="s">
        <v>209</v>
      </c>
      <c r="C34" t="s">
        <v>158</v>
      </c>
      <c r="D34" t="s">
        <v>159</v>
      </c>
    </row>
    <row r="35" spans="1:4" x14ac:dyDescent="0.3">
      <c r="A35" t="s">
        <v>210</v>
      </c>
      <c r="B35" t="s">
        <v>211</v>
      </c>
      <c r="C35" t="s">
        <v>158</v>
      </c>
      <c r="D35" t="s">
        <v>159</v>
      </c>
    </row>
    <row r="36" spans="1:4" x14ac:dyDescent="0.3">
      <c r="A36" t="s">
        <v>212</v>
      </c>
      <c r="B36" t="s">
        <v>213</v>
      </c>
      <c r="C36" t="s">
        <v>158</v>
      </c>
      <c r="D36" t="s">
        <v>159</v>
      </c>
    </row>
    <row r="37" spans="1:4" x14ac:dyDescent="0.3">
      <c r="A37" t="s">
        <v>214</v>
      </c>
      <c r="B37" t="s">
        <v>215</v>
      </c>
      <c r="C37" t="s">
        <v>139</v>
      </c>
    </row>
    <row r="38" spans="1:4" x14ac:dyDescent="0.3">
      <c r="A38" t="s">
        <v>216</v>
      </c>
      <c r="B38" t="s">
        <v>217</v>
      </c>
      <c r="C38" t="s">
        <v>139</v>
      </c>
    </row>
    <row r="39" spans="1:4" x14ac:dyDescent="0.3">
      <c r="A39" t="s">
        <v>218</v>
      </c>
      <c r="B39" t="s">
        <v>219</v>
      </c>
      <c r="C39" t="s">
        <v>139</v>
      </c>
    </row>
    <row r="40" spans="1:4" x14ac:dyDescent="0.3">
      <c r="A40" t="s">
        <v>220</v>
      </c>
      <c r="B40" t="s">
        <v>221</v>
      </c>
      <c r="C40" t="s">
        <v>158</v>
      </c>
      <c r="D40" t="s">
        <v>159</v>
      </c>
    </row>
    <row r="41" spans="1:4" x14ac:dyDescent="0.3">
      <c r="A41" t="s">
        <v>222</v>
      </c>
      <c r="B41" t="s">
        <v>223</v>
      </c>
      <c r="C41" t="s">
        <v>158</v>
      </c>
      <c r="D41" t="s">
        <v>159</v>
      </c>
    </row>
    <row r="42" spans="1:4" x14ac:dyDescent="0.3">
      <c r="A42" t="s">
        <v>224</v>
      </c>
      <c r="B42" t="s">
        <v>225</v>
      </c>
      <c r="C42" t="s">
        <v>158</v>
      </c>
      <c r="D42" t="s">
        <v>159</v>
      </c>
    </row>
    <row r="43" spans="1:4" x14ac:dyDescent="0.3">
      <c r="A43" t="s">
        <v>226</v>
      </c>
      <c r="B43" t="s">
        <v>227</v>
      </c>
      <c r="C43" t="s">
        <v>158</v>
      </c>
      <c r="D43" t="s">
        <v>159</v>
      </c>
    </row>
    <row r="44" spans="1:4" x14ac:dyDescent="0.3">
      <c r="A44" t="s">
        <v>228</v>
      </c>
      <c r="B44" t="s">
        <v>229</v>
      </c>
      <c r="C44" t="s">
        <v>158</v>
      </c>
      <c r="D44" t="s">
        <v>159</v>
      </c>
    </row>
    <row r="45" spans="1:4" x14ac:dyDescent="0.3">
      <c r="A45" t="s">
        <v>230</v>
      </c>
      <c r="B45" t="s">
        <v>231</v>
      </c>
      <c r="C45" t="s">
        <v>158</v>
      </c>
      <c r="D45" t="s">
        <v>159</v>
      </c>
    </row>
    <row r="46" spans="1:4" x14ac:dyDescent="0.3">
      <c r="A46" t="s">
        <v>232</v>
      </c>
      <c r="B46" t="s">
        <v>233</v>
      </c>
      <c r="C46" t="s">
        <v>158</v>
      </c>
      <c r="D46" t="s">
        <v>159</v>
      </c>
    </row>
    <row r="47" spans="1:4" x14ac:dyDescent="0.3">
      <c r="A47" t="s">
        <v>234</v>
      </c>
      <c r="B47" t="s">
        <v>235</v>
      </c>
      <c r="C47" t="s">
        <v>158</v>
      </c>
      <c r="D47" t="s">
        <v>159</v>
      </c>
    </row>
    <row r="48" spans="1:4" x14ac:dyDescent="0.3">
      <c r="A48" t="s">
        <v>236</v>
      </c>
      <c r="B48" t="s">
        <v>237</v>
      </c>
      <c r="C48" t="s">
        <v>158</v>
      </c>
      <c r="D48" t="s">
        <v>159</v>
      </c>
    </row>
    <row r="49" spans="1:4" x14ac:dyDescent="0.3">
      <c r="A49" t="s">
        <v>238</v>
      </c>
      <c r="B49" t="s">
        <v>239</v>
      </c>
      <c r="C49" t="s">
        <v>158</v>
      </c>
      <c r="D49" t="s">
        <v>159</v>
      </c>
    </row>
    <row r="50" spans="1:4" x14ac:dyDescent="0.3">
      <c r="A50" t="s">
        <v>240</v>
      </c>
      <c r="B50" t="s">
        <v>241</v>
      </c>
      <c r="C50" t="s">
        <v>158</v>
      </c>
      <c r="D50" t="s">
        <v>159</v>
      </c>
    </row>
    <row r="51" spans="1:4" x14ac:dyDescent="0.3">
      <c r="A51" t="s">
        <v>242</v>
      </c>
      <c r="B51" t="s">
        <v>243</v>
      </c>
      <c r="C51" t="s">
        <v>158</v>
      </c>
      <c r="D51" t="s">
        <v>159</v>
      </c>
    </row>
    <row r="52" spans="1:4" x14ac:dyDescent="0.3">
      <c r="A52" t="s">
        <v>244</v>
      </c>
      <c r="B52" t="s">
        <v>245</v>
      </c>
      <c r="C52" t="s">
        <v>158</v>
      </c>
      <c r="D52" t="s">
        <v>159</v>
      </c>
    </row>
    <row r="53" spans="1:4" x14ac:dyDescent="0.3">
      <c r="A53" t="s">
        <v>246</v>
      </c>
      <c r="B53" t="s">
        <v>247</v>
      </c>
      <c r="C53" t="s">
        <v>158</v>
      </c>
      <c r="D53" t="s">
        <v>159</v>
      </c>
    </row>
    <row r="54" spans="1:4" x14ac:dyDescent="0.3">
      <c r="A54" t="s">
        <v>248</v>
      </c>
      <c r="B54" t="s">
        <v>249</v>
      </c>
      <c r="C54" t="s">
        <v>158</v>
      </c>
      <c r="D54" t="s">
        <v>159</v>
      </c>
    </row>
    <row r="55" spans="1:4" x14ac:dyDescent="0.3">
      <c r="A55" t="s">
        <v>250</v>
      </c>
      <c r="B55" t="s">
        <v>251</v>
      </c>
      <c r="C55" t="s">
        <v>158</v>
      </c>
      <c r="D55" t="s">
        <v>159</v>
      </c>
    </row>
    <row r="56" spans="1:4" x14ac:dyDescent="0.3">
      <c r="A56" t="s">
        <v>252</v>
      </c>
      <c r="B56" t="s">
        <v>253</v>
      </c>
      <c r="C56" t="s">
        <v>158</v>
      </c>
      <c r="D56" t="s">
        <v>159</v>
      </c>
    </row>
    <row r="57" spans="1:4" x14ac:dyDescent="0.3">
      <c r="A57" t="s">
        <v>254</v>
      </c>
      <c r="B57" t="s">
        <v>255</v>
      </c>
      <c r="C57" t="s">
        <v>158</v>
      </c>
      <c r="D57" t="s">
        <v>159</v>
      </c>
    </row>
    <row r="58" spans="1:4" x14ac:dyDescent="0.3">
      <c r="A58" t="s">
        <v>256</v>
      </c>
      <c r="B58" t="s">
        <v>257</v>
      </c>
      <c r="C58" t="s">
        <v>158</v>
      </c>
      <c r="D58" t="s">
        <v>159</v>
      </c>
    </row>
    <row r="59" spans="1:4" x14ac:dyDescent="0.3">
      <c r="A59" t="s">
        <v>258</v>
      </c>
      <c r="B59" t="s">
        <v>259</v>
      </c>
      <c r="C59" t="s">
        <v>158</v>
      </c>
      <c r="D59" t="s">
        <v>159</v>
      </c>
    </row>
    <row r="60" spans="1:4" x14ac:dyDescent="0.3">
      <c r="A60" t="s">
        <v>260</v>
      </c>
      <c r="B60" t="s">
        <v>261</v>
      </c>
      <c r="C60" t="s">
        <v>158</v>
      </c>
      <c r="D60" t="s">
        <v>159</v>
      </c>
    </row>
    <row r="61" spans="1:4" x14ac:dyDescent="0.3">
      <c r="A61" t="s">
        <v>262</v>
      </c>
      <c r="B61" t="s">
        <v>263</v>
      </c>
      <c r="C61" t="s">
        <v>158</v>
      </c>
      <c r="D61" t="s">
        <v>159</v>
      </c>
    </row>
    <row r="62" spans="1:4" x14ac:dyDescent="0.3">
      <c r="A62" t="s">
        <v>264</v>
      </c>
      <c r="B62" t="s">
        <v>265</v>
      </c>
      <c r="C62" t="s">
        <v>158</v>
      </c>
      <c r="D62" t="s">
        <v>159</v>
      </c>
    </row>
    <row r="63" spans="1:4" x14ac:dyDescent="0.3">
      <c r="A63" t="s">
        <v>266</v>
      </c>
      <c r="B63" t="s">
        <v>267</v>
      </c>
      <c r="C63" t="s">
        <v>158</v>
      </c>
      <c r="D63" t="s">
        <v>159</v>
      </c>
    </row>
    <row r="64" spans="1:4" x14ac:dyDescent="0.3">
      <c r="A64" t="s">
        <v>268</v>
      </c>
      <c r="B64" t="s">
        <v>269</v>
      </c>
      <c r="C64" t="s">
        <v>158</v>
      </c>
      <c r="D64" t="s">
        <v>159</v>
      </c>
    </row>
    <row r="65" spans="1:4" x14ac:dyDescent="0.3">
      <c r="A65" t="s">
        <v>270</v>
      </c>
      <c r="B65" t="s">
        <v>271</v>
      </c>
      <c r="C65" t="s">
        <v>158</v>
      </c>
      <c r="D65" t="s">
        <v>159</v>
      </c>
    </row>
    <row r="66" spans="1:4" x14ac:dyDescent="0.3">
      <c r="A66" t="s">
        <v>272</v>
      </c>
      <c r="B66" t="s">
        <v>273</v>
      </c>
      <c r="C66" t="s">
        <v>158</v>
      </c>
      <c r="D66" t="s">
        <v>159</v>
      </c>
    </row>
    <row r="67" spans="1:4" x14ac:dyDescent="0.3">
      <c r="A67" t="s">
        <v>274</v>
      </c>
      <c r="B67" t="s">
        <v>275</v>
      </c>
      <c r="C67" t="s">
        <v>158</v>
      </c>
      <c r="D67" t="s">
        <v>159</v>
      </c>
    </row>
    <row r="68" spans="1:4" x14ac:dyDescent="0.3">
      <c r="A68" t="s">
        <v>276</v>
      </c>
      <c r="B68" t="s">
        <v>277</v>
      </c>
      <c r="C68" t="s">
        <v>158</v>
      </c>
      <c r="D68" t="s">
        <v>159</v>
      </c>
    </row>
    <row r="69" spans="1:4" x14ac:dyDescent="0.3">
      <c r="A69" t="s">
        <v>278</v>
      </c>
      <c r="B69" t="s">
        <v>279</v>
      </c>
      <c r="C69" t="s">
        <v>158</v>
      </c>
      <c r="D69" t="s">
        <v>159</v>
      </c>
    </row>
    <row r="70" spans="1:4" x14ac:dyDescent="0.3">
      <c r="A70" t="s">
        <v>280</v>
      </c>
      <c r="B70" t="s">
        <v>281</v>
      </c>
      <c r="C70" t="s">
        <v>158</v>
      </c>
      <c r="D70" t="s">
        <v>159</v>
      </c>
    </row>
    <row r="71" spans="1:4" x14ac:dyDescent="0.3">
      <c r="A71" t="s">
        <v>282</v>
      </c>
      <c r="B71" t="s">
        <v>283</v>
      </c>
      <c r="C71" t="s">
        <v>158</v>
      </c>
      <c r="D71" t="s">
        <v>159</v>
      </c>
    </row>
    <row r="72" spans="1:4" x14ac:dyDescent="0.3">
      <c r="A72" t="s">
        <v>284</v>
      </c>
      <c r="B72" t="s">
        <v>285</v>
      </c>
      <c r="C72" t="s">
        <v>158</v>
      </c>
      <c r="D72" t="s">
        <v>159</v>
      </c>
    </row>
    <row r="73" spans="1:4" x14ac:dyDescent="0.3">
      <c r="A73" t="s">
        <v>286</v>
      </c>
      <c r="B73" t="s">
        <v>287</v>
      </c>
      <c r="C73" t="s">
        <v>158</v>
      </c>
      <c r="D73" t="s">
        <v>159</v>
      </c>
    </row>
    <row r="74" spans="1:4" x14ac:dyDescent="0.3">
      <c r="A74" t="s">
        <v>288</v>
      </c>
      <c r="B74" t="s">
        <v>289</v>
      </c>
      <c r="C74" t="s">
        <v>158</v>
      </c>
      <c r="D74" t="s">
        <v>159</v>
      </c>
    </row>
    <row r="75" spans="1:4" x14ac:dyDescent="0.3">
      <c r="A75" t="s">
        <v>290</v>
      </c>
      <c r="B75" t="s">
        <v>291</v>
      </c>
      <c r="C75" t="s">
        <v>158</v>
      </c>
      <c r="D75" t="s">
        <v>159</v>
      </c>
    </row>
    <row r="76" spans="1:4" x14ac:dyDescent="0.3">
      <c r="A76" t="s">
        <v>292</v>
      </c>
      <c r="B76" t="s">
        <v>293</v>
      </c>
      <c r="C76" t="s">
        <v>158</v>
      </c>
      <c r="D76" t="s">
        <v>159</v>
      </c>
    </row>
    <row r="77" spans="1:4" x14ac:dyDescent="0.3">
      <c r="A77" t="s">
        <v>294</v>
      </c>
      <c r="B77" t="s">
        <v>295</v>
      </c>
      <c r="C77" t="s">
        <v>158</v>
      </c>
      <c r="D77" t="s">
        <v>159</v>
      </c>
    </row>
    <row r="78" spans="1:4" x14ac:dyDescent="0.3">
      <c r="A78" t="s">
        <v>296</v>
      </c>
      <c r="B78" t="s">
        <v>297</v>
      </c>
      <c r="C78" t="s">
        <v>158</v>
      </c>
      <c r="D78" t="s">
        <v>159</v>
      </c>
    </row>
    <row r="79" spans="1:4" x14ac:dyDescent="0.3">
      <c r="A79" t="s">
        <v>298</v>
      </c>
      <c r="B79" t="s">
        <v>299</v>
      </c>
      <c r="C79" t="s">
        <v>158</v>
      </c>
      <c r="D79" t="s">
        <v>159</v>
      </c>
    </row>
    <row r="80" spans="1:4" x14ac:dyDescent="0.3">
      <c r="A80" t="s">
        <v>300</v>
      </c>
      <c r="B80" t="s">
        <v>301</v>
      </c>
      <c r="C80" t="s">
        <v>158</v>
      </c>
      <c r="D80" t="s">
        <v>159</v>
      </c>
    </row>
    <row r="81" spans="1:4" x14ac:dyDescent="0.3">
      <c r="A81" t="s">
        <v>302</v>
      </c>
      <c r="B81" t="s">
        <v>303</v>
      </c>
      <c r="C81" t="s">
        <v>158</v>
      </c>
      <c r="D81" t="s">
        <v>159</v>
      </c>
    </row>
    <row r="82" spans="1:4" x14ac:dyDescent="0.3">
      <c r="A82" t="s">
        <v>304</v>
      </c>
      <c r="B82" t="s">
        <v>305</v>
      </c>
      <c r="C82" t="s">
        <v>158</v>
      </c>
      <c r="D82" t="s">
        <v>159</v>
      </c>
    </row>
    <row r="83" spans="1:4" x14ac:dyDescent="0.3">
      <c r="A83" t="s">
        <v>306</v>
      </c>
      <c r="B83" t="s">
        <v>307</v>
      </c>
      <c r="C83" t="s">
        <v>158</v>
      </c>
      <c r="D83" t="s">
        <v>159</v>
      </c>
    </row>
    <row r="84" spans="1:4" x14ac:dyDescent="0.3">
      <c r="A84" t="s">
        <v>308</v>
      </c>
      <c r="B84" t="s">
        <v>309</v>
      </c>
      <c r="C84" t="s">
        <v>158</v>
      </c>
      <c r="D84" t="s">
        <v>159</v>
      </c>
    </row>
    <row r="85" spans="1:4" x14ac:dyDescent="0.3">
      <c r="A85" t="s">
        <v>310</v>
      </c>
      <c r="B85" t="s">
        <v>311</v>
      </c>
      <c r="C85" t="s">
        <v>158</v>
      </c>
      <c r="D85" t="s">
        <v>159</v>
      </c>
    </row>
    <row r="86" spans="1:4" x14ac:dyDescent="0.3">
      <c r="A86" t="s">
        <v>312</v>
      </c>
      <c r="B86" t="s">
        <v>313</v>
      </c>
      <c r="C86" t="s">
        <v>158</v>
      </c>
      <c r="D86" t="s">
        <v>159</v>
      </c>
    </row>
    <row r="87" spans="1:4" x14ac:dyDescent="0.3">
      <c r="A87" t="s">
        <v>314</v>
      </c>
      <c r="B87" t="s">
        <v>315</v>
      </c>
      <c r="C87" t="s">
        <v>158</v>
      </c>
      <c r="D87" t="s">
        <v>159</v>
      </c>
    </row>
    <row r="88" spans="1:4" x14ac:dyDescent="0.3">
      <c r="A88" t="s">
        <v>316</v>
      </c>
      <c r="B88" t="s">
        <v>317</v>
      </c>
      <c r="C88" t="s">
        <v>158</v>
      </c>
      <c r="D88" t="s">
        <v>159</v>
      </c>
    </row>
    <row r="89" spans="1:4" x14ac:dyDescent="0.3">
      <c r="A89" t="s">
        <v>318</v>
      </c>
      <c r="B89" t="s">
        <v>319</v>
      </c>
      <c r="C89" t="s">
        <v>158</v>
      </c>
      <c r="D89" t="s">
        <v>159</v>
      </c>
    </row>
    <row r="90" spans="1:4" x14ac:dyDescent="0.3">
      <c r="A90" t="s">
        <v>320</v>
      </c>
      <c r="B90" t="s">
        <v>321</v>
      </c>
      <c r="C90" t="s">
        <v>158</v>
      </c>
      <c r="D90" t="s">
        <v>159</v>
      </c>
    </row>
    <row r="91" spans="1:4" x14ac:dyDescent="0.3">
      <c r="A91" t="s">
        <v>322</v>
      </c>
      <c r="B91" t="s">
        <v>323</v>
      </c>
      <c r="C91" t="s">
        <v>158</v>
      </c>
      <c r="D91" t="s">
        <v>159</v>
      </c>
    </row>
    <row r="92" spans="1:4" x14ac:dyDescent="0.3">
      <c r="A92" t="s">
        <v>324</v>
      </c>
      <c r="B92" t="s">
        <v>325</v>
      </c>
      <c r="C92" t="s">
        <v>158</v>
      </c>
      <c r="D92" t="s">
        <v>159</v>
      </c>
    </row>
    <row r="93" spans="1:4" x14ac:dyDescent="0.3">
      <c r="A93" t="s">
        <v>326</v>
      </c>
      <c r="B93" t="s">
        <v>327</v>
      </c>
      <c r="C93" t="s">
        <v>158</v>
      </c>
      <c r="D93" t="s">
        <v>159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Reporte</vt:lpstr>
      <vt:lpstr>_GRAFICOS</vt:lpstr>
      <vt:lpstr>_MAPA</vt:lpstr>
      <vt:lpstr>Reporte!Área_de_impresión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2026-09-15T16:10:06Z</dcterms:created>
  <dcterms:modified xsi:type="dcterms:W3CDTF">2026-09-15T16:10:11Z</dcterms:modified>
</cp:coreProperties>
</file>