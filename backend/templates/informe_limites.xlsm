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548C67C0-3A9D-42F8-A636-F590DAD56064}" xr6:coauthVersionLast="47" xr6:coauthVersionMax="47" xr10:uidLastSave="{00000000-0000-0000-0000-000000000000}"/>
  <bookViews>
    <workbookView xWindow="4428" yWindow="1716" windowWidth="17280" windowHeight="8964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B5" i="2" s="1"/>
  <c r="A4" i="2"/>
  <c r="C4" i="2" s="1"/>
  <c r="A3" i="2"/>
  <c r="C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B38" i="1" s="1"/>
  <c r="F5" i="2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B27" i="1" s="1"/>
  <c r="D23" i="1"/>
  <c r="C23" i="1"/>
  <c r="B23" i="1"/>
  <c r="F4" i="2" l="1"/>
  <c r="F6" i="2" s="1"/>
  <c r="B39" i="1"/>
  <c r="B3" i="2"/>
  <c r="C5" i="2"/>
  <c r="B4" i="2"/>
  <c r="F2" i="2" l="1"/>
  <c r="F1" i="2"/>
  <c r="E9" i="2" l="1"/>
  <c r="E8" i="2"/>
  <c r="E7" i="2"/>
  <c r="E4" i="2"/>
  <c r="E6" i="2"/>
  <c r="F3" i="2"/>
  <c r="I3" i="2" s="1"/>
  <c r="E3" i="2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<sst xmlns="http://schemas.openxmlformats.org/spreadsheetml/2006/main" count="308" uniqueCount="221">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</sst>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E-4E69-9661-1CF656429213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BE-4E69-9661-1CF656429213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BE-4E69-9661-1CF656429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94-4247-94F6-B5AD373AC93A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94-4247-94F6-B5AD373AC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4" t="s">
        <v>0</v>
      </c>
      <c r="D1" s="15"/>
      <c r="E1" s="15"/>
      <c r="F1" s="15"/>
      <c r="G1" s="15"/>
    </row>
    <row r="2" spans="1:9" ht="15" customHeight="1" x14ac:dyDescent="0.3">
      <c r="C2" s="20" t="s">
        <v>1</v>
      </c>
      <c r="D2" s="15"/>
      <c r="E2" s="15"/>
      <c r="F2" s="15"/>
      <c r="G2" s="15"/>
    </row>
    <row r="3" spans="1:9" ht="12" customHeight="1" x14ac:dyDescent="0.3">
      <c r="C3" s="23" t="s">
        <v>2</v>
      </c>
      <c r="D3" s="15"/>
      <c r="E3" s="15"/>
      <c r="F3" s="15"/>
      <c r="G3" s="15"/>
    </row>
    <row r="4" spans="1:9" ht="12" customHeight="1" x14ac:dyDescent="0.3">
      <c r="C4" s="23" t="s">
        <v>3</v>
      </c>
      <c r="D4" s="15"/>
      <c r="E4" s="15"/>
      <c r="F4" s="15"/>
      <c r="G4" s="15"/>
    </row>
    <row r="5" spans="1:9" ht="13.95" customHeight="1" x14ac:dyDescent="0.3">
      <c r="C5" s="20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0" t="s">
        <v>6</v>
      </c>
      <c r="B8" s="26"/>
      <c r="C8" s="19"/>
      <c r="D8" s="19"/>
      <c r="E8" s="19"/>
      <c r="F8" s="19"/>
      <c r="G8" s="19"/>
      <c r="H8" s="19"/>
      <c r="I8" s="19"/>
    </row>
    <row r="9" spans="1:9" ht="6" customHeight="1" x14ac:dyDescent="0.3"/>
    <row r="10" spans="1:9" ht="19.95" customHeight="1" x14ac:dyDescent="0.3">
      <c r="A10" s="1" t="s">
        <v>7</v>
      </c>
      <c r="B10" s="22"/>
      <c r="C10" s="22"/>
      <c r="D10" s="22"/>
      <c r="E10" s="22"/>
      <c r="F10" s="22"/>
      <c r="G10" s="22"/>
      <c r="H10" s="22"/>
      <c r="I10" s="22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1"/>
      <c r="E12" s="11" t="s">
        <v>14</v>
      </c>
      <c r="F12" s="12"/>
      <c r="G12" s="27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6" t="s">
        <v>24</v>
      </c>
      <c r="B16" s="17"/>
      <c r="C16" s="17"/>
      <c r="D16" s="17"/>
      <c r="E16" s="17"/>
      <c r="F16" s="17"/>
      <c r="G16" s="17"/>
      <c r="H16" s="17"/>
      <c r="I16" s="17"/>
    </row>
    <row r="17" spans="1:9" ht="16.05" customHeight="1" x14ac:dyDescent="0.3">
      <c r="A17" s="4" t="s">
        <v>25</v>
      </c>
      <c r="B17" s="4" t="s">
        <v>26</v>
      </c>
      <c r="C17" s="4" t="s">
        <v>27</v>
      </c>
      <c r="D17" s="4" t="s">
        <v>28</v>
      </c>
    </row>
    <row r="18" spans="1:9" x14ac:dyDescent="0.3">
      <c r="A18" s="5" t="s">
        <v>29</v>
      </c>
      <c r="B18" s="5"/>
      <c r="C18" s="5"/>
      <c r="D18" s="5"/>
    </row>
    <row r="19" spans="1:9" x14ac:dyDescent="0.3">
      <c r="A19" s="5" t="s">
        <v>30</v>
      </c>
      <c r="B19" s="6"/>
      <c r="C19" s="6"/>
      <c r="D19" s="6"/>
    </row>
    <row r="20" spans="1:9" x14ac:dyDescent="0.3">
      <c r="A20" s="5" t="s">
        <v>31</v>
      </c>
      <c r="B20" s="7"/>
      <c r="C20" s="7"/>
      <c r="D20" s="7"/>
    </row>
    <row r="21" spans="1:9" x14ac:dyDescent="0.3">
      <c r="A21" s="5" t="s">
        <v>32</v>
      </c>
      <c r="B21" s="7"/>
      <c r="C21" s="7"/>
      <c r="D21" s="7"/>
    </row>
    <row r="22" spans="1:9" x14ac:dyDescent="0.3">
      <c r="A22" s="5" t="s">
        <v>33</v>
      </c>
      <c r="B22" s="7"/>
      <c r="C22" s="7"/>
      <c r="D22" s="7"/>
    </row>
    <row r="23" spans="1:9" x14ac:dyDescent="0.3">
      <c r="A23" s="5" t="s">
        <v>34</v>
      </c>
      <c r="B23" s="8" t="str">
        <f>IF(COUNT(B21:B22)=2,B21-B22,"")</f>
        <v/>
      </c>
      <c r="C23" s="8" t="str">
        <f>IF(COUNT(C21:C22)=2,C21-C22,"")</f>
        <v/>
      </c>
      <c r="D23" s="8" t="str">
        <f>IF(COUNT(D21:D22)=2,D21-D22,"")</f>
        <v/>
      </c>
    </row>
    <row r="24" spans="1:9" x14ac:dyDescent="0.3">
      <c r="A24" s="5" t="s">
        <v>35</v>
      </c>
      <c r="B24" s="8" t="str">
        <f>IF(COUNT(B20,B22)=2,B22-B20,"")</f>
        <v/>
      </c>
      <c r="C24" s="8" t="str">
        <f>IF(COUNT(C20,C22)=2,C22-C20,"")</f>
        <v/>
      </c>
      <c r="D24" s="8" t="str">
        <f>IF(COUNT(D20,D22)=2,D22-D20,"")</f>
        <v/>
      </c>
    </row>
    <row r="25" spans="1:9" x14ac:dyDescent="0.3">
      <c r="A25" s="5" t="s">
        <v>36</v>
      </c>
      <c r="B25" s="8" t="str">
        <f>IF(AND(ISNUMBER(B24),N(B24)&gt;0),IFERROR(B23/B24*100,0),"")</f>
        <v/>
      </c>
      <c r="C25" s="8" t="str">
        <f>IF(AND(ISNUMBER(C24),N(C24)&gt;0),IFERROR(C23/C24*100,0),"")</f>
        <v/>
      </c>
      <c r="D25" s="8" t="str">
        <f>IF(AND(ISNUMBER(D24),N(D24)&gt;0),IFERROR(D23/D24*100,0),"")</f>
        <v/>
      </c>
    </row>
    <row r="26" spans="1:9" x14ac:dyDescent="0.3">
      <c r="A26" s="5" t="s">
        <v>37</v>
      </c>
      <c r="B26" s="8" t="str">
        <f>IF(AND(ISNUMBER(B25),N(B19)&gt;0),B25*POWER(B19/25,0.121),"")</f>
        <v/>
      </c>
      <c r="C26" s="8" t="str">
        <f>IF(AND(ISNUMBER(C25),N(C19)&gt;0),C25*POWER(C19/25,0.121),"")</f>
        <v/>
      </c>
      <c r="D26" s="8" t="str">
        <f>IF(AND(ISNUMBER(D25),N(D19)&gt;0),D25*POWER(D19/25,0.121),"")</f>
        <v/>
      </c>
    </row>
    <row r="27" spans="1:9" x14ac:dyDescent="0.3">
      <c r="A27" s="1" t="s">
        <v>38</v>
      </c>
      <c r="B27" s="21">
        <f>IF(COUNTIF(B19:D19,25)&gt;0,INDEX(B25:D25,MATCH(25,B19:D19,0)),IF(COUNT(B26:D26)&gt;0,AVERAGE(B26:D26),0))</f>
        <v>0</v>
      </c>
      <c r="C27" s="22"/>
      <c r="D27" s="22"/>
      <c r="E27" s="22"/>
    </row>
    <row r="28" spans="1:9" ht="6" customHeight="1" x14ac:dyDescent="0.3"/>
    <row r="29" spans="1:9" x14ac:dyDescent="0.3">
      <c r="A29" s="16" t="s">
        <v>39</v>
      </c>
      <c r="B29" s="17"/>
      <c r="C29" s="17"/>
      <c r="D29" s="17"/>
      <c r="E29" s="17"/>
      <c r="F29" s="17"/>
      <c r="G29" s="17"/>
      <c r="H29" s="17"/>
      <c r="I29" s="17"/>
    </row>
    <row r="30" spans="1:9" ht="16.05" customHeight="1" x14ac:dyDescent="0.3">
      <c r="A30" s="4" t="s">
        <v>25</v>
      </c>
      <c r="B30" s="4" t="s">
        <v>26</v>
      </c>
      <c r="C30" s="4" t="s">
        <v>27</v>
      </c>
    </row>
    <row r="31" spans="1:9" x14ac:dyDescent="0.3">
      <c r="A31" s="5" t="s">
        <v>29</v>
      </c>
      <c r="B31" s="5"/>
      <c r="C31" s="5"/>
    </row>
    <row r="32" spans="1:9" x14ac:dyDescent="0.3">
      <c r="A32" s="5" t="s">
        <v>31</v>
      </c>
      <c r="B32" s="7"/>
      <c r="C32" s="7"/>
    </row>
    <row r="33" spans="1:9" x14ac:dyDescent="0.3">
      <c r="A33" s="5" t="s">
        <v>32</v>
      </c>
      <c r="B33" s="7"/>
      <c r="C33" s="7"/>
    </row>
    <row r="34" spans="1:9" x14ac:dyDescent="0.3">
      <c r="A34" s="5" t="s">
        <v>33</v>
      </c>
      <c r="B34" s="7"/>
      <c r="C34" s="7"/>
    </row>
    <row r="35" spans="1:9" x14ac:dyDescent="0.3">
      <c r="A35" s="5" t="s">
        <v>34</v>
      </c>
      <c r="B35" s="8" t="str">
        <f>IF(COUNT(B33:B34)=2,B33-B34,"")</f>
        <v/>
      </c>
      <c r="C35" s="8" t="str">
        <f>IF(COUNT(C33:C34)=2,C33-C34,"")</f>
        <v/>
      </c>
    </row>
    <row r="36" spans="1:9" x14ac:dyDescent="0.3">
      <c r="A36" s="5" t="s">
        <v>35</v>
      </c>
      <c r="B36" s="8" t="str">
        <f>IF(COUNT(B32,B34)=2,B34-B32,"")</f>
        <v/>
      </c>
      <c r="C36" s="8" t="str">
        <f>IF(COUNT(C32,C34)=2,C34-C32,"")</f>
        <v/>
      </c>
    </row>
    <row r="37" spans="1:9" x14ac:dyDescent="0.3">
      <c r="A37" s="5" t="s">
        <v>36</v>
      </c>
      <c r="B37" s="8" t="str">
        <f>IF(AND(ISNUMBER(B36),N(B36)&gt;0),IFERROR(B35/B36*100,0),"")</f>
        <v/>
      </c>
      <c r="C37" s="8" t="str">
        <f>IF(AND(ISNUMBER(C36),N(C36)&gt;0),IFERROR(C35/C36*100,0),"")</f>
        <v/>
      </c>
    </row>
    <row r="38" spans="1:9" x14ac:dyDescent="0.3">
      <c r="A38" s="1" t="s">
        <v>40</v>
      </c>
      <c r="B38" s="21">
        <f>IF(COUNT(B37:C37)&gt;0,AVERAGE(B37:C37),0)</f>
        <v>0</v>
      </c>
      <c r="C38" s="22"/>
      <c r="D38" s="22"/>
      <c r="E38" s="22"/>
    </row>
    <row r="39" spans="1:9" x14ac:dyDescent="0.3">
      <c r="A39" s="1" t="s">
        <v>41</v>
      </c>
      <c r="B39" s="21">
        <f>IF(AND(ISNUMBER(B27),ISNUMBER(B38)),B27-B38,"")</f>
        <v>0</v>
      </c>
      <c r="C39" s="22"/>
      <c r="D39" s="22"/>
      <c r="E39" s="22"/>
    </row>
    <row r="40" spans="1:9" x14ac:dyDescent="0.3">
      <c r="A40" s="18" t="s">
        <v>42</v>
      </c>
      <c r="B40" s="19"/>
      <c r="C40" s="18" t="s">
        <v>43</v>
      </c>
      <c r="D40" s="19"/>
      <c r="E40" s="19"/>
    </row>
    <row r="41" spans="1:9" x14ac:dyDescent="0.3">
      <c r="A41" s="13" t="s">
        <v>44</v>
      </c>
      <c r="B41" s="13"/>
      <c r="C41" s="13" t="s">
        <v>45</v>
      </c>
      <c r="D41" s="13"/>
      <c r="E41" s="13"/>
    </row>
    <row r="42" spans="1:9" x14ac:dyDescent="0.3">
      <c r="A42" s="13" t="s">
        <v>46</v>
      </c>
      <c r="B42" s="13"/>
      <c r="C42" s="13" t="s">
        <v>47</v>
      </c>
      <c r="D42" s="13"/>
      <c r="E42" s="13"/>
    </row>
    <row r="43" spans="1:9" x14ac:dyDescent="0.3">
      <c r="A43" s="13" t="s">
        <v>48</v>
      </c>
      <c r="B43" s="13"/>
      <c r="C43" s="13" t="s">
        <v>49</v>
      </c>
      <c r="D43" s="13"/>
      <c r="E43" s="13"/>
    </row>
    <row r="44" spans="1:9" x14ac:dyDescent="0.3">
      <c r="A44" s="13" t="s">
        <v>50</v>
      </c>
      <c r="B44" s="13"/>
      <c r="C44" s="13" t="s">
        <v>51</v>
      </c>
      <c r="D44" s="13"/>
      <c r="E44" s="13"/>
    </row>
    <row r="45" spans="1:9" ht="6" customHeight="1" x14ac:dyDescent="0.3"/>
    <row r="46" spans="1:9" x14ac:dyDescent="0.3">
      <c r="A46" s="16" t="s">
        <v>52</v>
      </c>
      <c r="B46" s="17"/>
      <c r="C46" s="17"/>
      <c r="D46" s="17"/>
      <c r="E46" s="17"/>
      <c r="F46" s="17"/>
      <c r="G46" s="17"/>
      <c r="H46" s="17"/>
      <c r="I46" s="17"/>
    </row>
    <row r="47" spans="1:9" ht="16.05" customHeight="1" x14ac:dyDescent="0.3">
      <c r="A47" s="4" t="s">
        <v>25</v>
      </c>
      <c r="B47" s="4" t="s">
        <v>53</v>
      </c>
      <c r="C47" s="4" t="s">
        <v>54</v>
      </c>
    </row>
    <row r="48" spans="1:9" x14ac:dyDescent="0.3">
      <c r="A48" s="5" t="s">
        <v>55</v>
      </c>
      <c r="B48" s="5"/>
      <c r="C48" s="5"/>
    </row>
    <row r="49" spans="1:9" x14ac:dyDescent="0.3">
      <c r="A49" s="5" t="s">
        <v>56</v>
      </c>
      <c r="B49" s="7"/>
      <c r="C49" s="7"/>
    </row>
    <row r="50" spans="1:9" x14ac:dyDescent="0.3">
      <c r="A50" s="5" t="s">
        <v>57</v>
      </c>
      <c r="B50" s="7"/>
      <c r="C50" s="7"/>
    </row>
    <row r="51" spans="1:9" x14ac:dyDescent="0.3">
      <c r="A51" s="5" t="s">
        <v>58</v>
      </c>
      <c r="B51" s="7"/>
      <c r="C51" s="7"/>
    </row>
    <row r="52" spans="1:9" x14ac:dyDescent="0.3">
      <c r="A52" s="5" t="s">
        <v>59</v>
      </c>
      <c r="B52" s="8" t="str">
        <f>IF(COUNT(B50:B51)=2,B50-B51,"")</f>
        <v/>
      </c>
      <c r="C52" s="8" t="str">
        <f>IF(COUNT(C50:C51)=2,C50-C51,"")</f>
        <v/>
      </c>
    </row>
    <row r="53" spans="1:9" x14ac:dyDescent="0.3">
      <c r="A53" s="5" t="s">
        <v>60</v>
      </c>
      <c r="B53" s="8" t="str">
        <f>IF(COUNT(B49,B51)=2,B51-B49,"")</f>
        <v/>
      </c>
      <c r="C53" s="8" t="str">
        <f>IF(COUNT(C49,C51)=2,C51-C49,"")</f>
        <v/>
      </c>
    </row>
    <row r="54" spans="1:9" x14ac:dyDescent="0.3">
      <c r="A54" s="5" t="s">
        <v>61</v>
      </c>
      <c r="B54" s="8" t="str">
        <f>IF(AND(ISNUMBER(B53),N(B53)&gt;0),IFERROR(B52/B53*100,0),"")</f>
        <v/>
      </c>
      <c r="C54" s="8" t="str">
        <f>IF(AND(ISNUMBER(C53),N(C53)&gt;0),IFERROR(C52/C53*100,0),"")</f>
        <v/>
      </c>
    </row>
    <row r="55" spans="1:9" x14ac:dyDescent="0.3">
      <c r="A55" s="1" t="s">
        <v>62</v>
      </c>
      <c r="B55" s="21">
        <f>IF(COUNT(B54:C54)&gt;0,AVERAGE(B54:C54),0)</f>
        <v>0</v>
      </c>
      <c r="C55" s="22"/>
      <c r="D55" s="22"/>
      <c r="E55" s="22"/>
    </row>
    <row r="56" spans="1:9" ht="6" customHeight="1" x14ac:dyDescent="0.3"/>
    <row r="57" spans="1:9" x14ac:dyDescent="0.3">
      <c r="A57" s="16" t="s">
        <v>63</v>
      </c>
      <c r="B57" s="17"/>
      <c r="C57" s="17"/>
      <c r="D57" s="17"/>
      <c r="E57" s="17"/>
      <c r="F57" s="17"/>
      <c r="G57" s="17"/>
      <c r="H57" s="17"/>
      <c r="I57" s="17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25" t="s">
        <v>64</v>
      </c>
      <c r="B88" s="15"/>
      <c r="C88" s="15"/>
      <c r="D88" s="25" t="s">
        <v>65</v>
      </c>
      <c r="E88" s="15"/>
      <c r="F88" s="15"/>
      <c r="G88" s="25" t="s">
        <v>66</v>
      </c>
      <c r="H88" s="15"/>
      <c r="I88" s="15"/>
    </row>
  </sheetData>
  <mergeCells count="35">
    <mergeCell ref="A88:C88"/>
    <mergeCell ref="A44:B44"/>
    <mergeCell ref="C13:D13"/>
    <mergeCell ref="A40:B40"/>
    <mergeCell ref="B12:D12"/>
    <mergeCell ref="A16:I16"/>
    <mergeCell ref="A57:I57"/>
    <mergeCell ref="A41:B41"/>
    <mergeCell ref="C1:G1"/>
    <mergeCell ref="G88:I88"/>
    <mergeCell ref="B8:I8"/>
    <mergeCell ref="A29:I29"/>
    <mergeCell ref="B27:E27"/>
    <mergeCell ref="C2:G2"/>
    <mergeCell ref="B10:I10"/>
    <mergeCell ref="A42:B42"/>
    <mergeCell ref="D88:F88"/>
    <mergeCell ref="B39:E39"/>
    <mergeCell ref="G12:I12"/>
    <mergeCell ref="F13:G13"/>
    <mergeCell ref="C42:E42"/>
    <mergeCell ref="A43:B43"/>
    <mergeCell ref="A46:I46"/>
    <mergeCell ref="C40:E40"/>
    <mergeCell ref="C5:G5"/>
    <mergeCell ref="B55:E55"/>
    <mergeCell ref="C3:G3"/>
    <mergeCell ref="C43:E43"/>
    <mergeCell ref="C4:G4"/>
    <mergeCell ref="B38:E38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8671875" defaultRowHeight="14.4" x14ac:dyDescent="0.3"/>
  <sheetData>
    <row r="1" spans="1:9" x14ac:dyDescent="0.3">
      <c r="F1">
        <f>IFERROR(SLOPE(B3:B5,C3:C5),0)</f>
        <v>0</v>
      </c>
    </row>
    <row r="2" spans="1:9" x14ac:dyDescent="0.3">
      <c r="F2">
        <f>IFERROR(INTERCEPT(B3:B5,C3:C5),0)</f>
        <v>0</v>
      </c>
    </row>
    <row r="3" spans="1:9" x14ac:dyDescent="0.3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3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3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3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3">
      <c r="D7">
        <v>25</v>
      </c>
      <c r="E7">
        <f t="shared" si="0"/>
        <v>0</v>
      </c>
    </row>
    <row r="8" spans="1:9" x14ac:dyDescent="0.3">
      <c r="D8">
        <v>35</v>
      </c>
      <c r="E8">
        <f t="shared" si="0"/>
        <v>0</v>
      </c>
    </row>
    <row r="9" spans="1:9" x14ac:dyDescent="0.3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3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3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3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3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3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120</v>
      </c>
      <c r="B1" t="s">
        <v>121</v>
      </c>
      <c r="C1" t="s">
        <v>69</v>
      </c>
      <c r="D1" t="s">
        <v>122</v>
      </c>
    </row>
    <row r="2" spans="1:4" x14ac:dyDescent="0.3">
      <c r="A2" t="s">
        <v>123</v>
      </c>
      <c r="B2" t="s">
        <v>124</v>
      </c>
      <c r="C2" t="s">
        <v>125</v>
      </c>
    </row>
    <row r="3" spans="1:4" x14ac:dyDescent="0.3">
      <c r="A3" t="s">
        <v>126</v>
      </c>
      <c r="B3" t="s">
        <v>127</v>
      </c>
      <c r="C3" t="s">
        <v>125</v>
      </c>
    </row>
    <row r="4" spans="1:4" x14ac:dyDescent="0.3">
      <c r="A4" t="s">
        <v>128</v>
      </c>
      <c r="B4" t="s">
        <v>129</v>
      </c>
      <c r="C4" t="s">
        <v>125</v>
      </c>
    </row>
    <row r="5" spans="1:4" x14ac:dyDescent="0.3">
      <c r="A5" t="s">
        <v>130</v>
      </c>
      <c r="B5" t="s">
        <v>131</v>
      </c>
      <c r="C5" t="s">
        <v>125</v>
      </c>
    </row>
    <row r="6" spans="1:4" x14ac:dyDescent="0.3">
      <c r="A6" t="s">
        <v>132</v>
      </c>
      <c r="B6" t="s">
        <v>133</v>
      </c>
      <c r="C6" t="s">
        <v>125</v>
      </c>
    </row>
    <row r="7" spans="1:4" x14ac:dyDescent="0.3">
      <c r="A7" t="s">
        <v>134</v>
      </c>
      <c r="B7" t="s">
        <v>135</v>
      </c>
      <c r="C7" t="s">
        <v>125</v>
      </c>
    </row>
    <row r="8" spans="1:4" x14ac:dyDescent="0.3">
      <c r="A8" t="s">
        <v>136</v>
      </c>
      <c r="B8" t="s">
        <v>137</v>
      </c>
      <c r="C8" t="s">
        <v>125</v>
      </c>
    </row>
    <row r="9" spans="1:4" x14ac:dyDescent="0.3">
      <c r="A9" t="s">
        <v>138</v>
      </c>
      <c r="B9" t="s">
        <v>139</v>
      </c>
      <c r="C9" t="s">
        <v>140</v>
      </c>
      <c r="D9" t="s">
        <v>141</v>
      </c>
    </row>
    <row r="10" spans="1:4" x14ac:dyDescent="0.3">
      <c r="A10" t="s">
        <v>142</v>
      </c>
      <c r="B10" t="s">
        <v>143</v>
      </c>
      <c r="C10" t="s">
        <v>144</v>
      </c>
      <c r="D10" t="s">
        <v>145</v>
      </c>
    </row>
    <row r="11" spans="1:4" x14ac:dyDescent="0.3">
      <c r="A11" t="s">
        <v>146</v>
      </c>
      <c r="B11" t="s">
        <v>147</v>
      </c>
      <c r="C11" t="s">
        <v>144</v>
      </c>
      <c r="D11" t="s">
        <v>145</v>
      </c>
    </row>
    <row r="12" spans="1:4" x14ac:dyDescent="0.3">
      <c r="A12" t="s">
        <v>148</v>
      </c>
      <c r="B12" t="s">
        <v>149</v>
      </c>
      <c r="C12" t="s">
        <v>125</v>
      </c>
    </row>
    <row r="13" spans="1:4" x14ac:dyDescent="0.3">
      <c r="A13" t="s">
        <v>150</v>
      </c>
      <c r="B13" t="s">
        <v>151</v>
      </c>
      <c r="C13" t="s">
        <v>125</v>
      </c>
    </row>
    <row r="14" spans="1:4" x14ac:dyDescent="0.3">
      <c r="A14" t="s">
        <v>152</v>
      </c>
      <c r="B14" t="s">
        <v>153</v>
      </c>
      <c r="C14" t="s">
        <v>125</v>
      </c>
    </row>
    <row r="15" spans="1:4" x14ac:dyDescent="0.3">
      <c r="A15" t="s">
        <v>154</v>
      </c>
      <c r="B15" t="s">
        <v>155</v>
      </c>
      <c r="C15" t="s">
        <v>125</v>
      </c>
    </row>
    <row r="16" spans="1:4" x14ac:dyDescent="0.3">
      <c r="A16" t="s">
        <v>156</v>
      </c>
      <c r="B16" t="s">
        <v>157</v>
      </c>
      <c r="C16" t="s">
        <v>125</v>
      </c>
    </row>
    <row r="17" spans="1:4" x14ac:dyDescent="0.3">
      <c r="A17" t="s">
        <v>158</v>
      </c>
      <c r="B17" t="s">
        <v>159</v>
      </c>
      <c r="C17" t="s">
        <v>125</v>
      </c>
    </row>
    <row r="18" spans="1:4" x14ac:dyDescent="0.3">
      <c r="A18" t="s">
        <v>160</v>
      </c>
      <c r="B18" t="s">
        <v>161</v>
      </c>
      <c r="C18" t="s">
        <v>144</v>
      </c>
      <c r="D18" t="s">
        <v>162</v>
      </c>
    </row>
    <row r="19" spans="1:4" x14ac:dyDescent="0.3">
      <c r="A19" t="s">
        <v>163</v>
      </c>
      <c r="B19" t="s">
        <v>164</v>
      </c>
      <c r="C19" t="s">
        <v>144</v>
      </c>
      <c r="D19" t="s">
        <v>145</v>
      </c>
    </row>
    <row r="20" spans="1:4" x14ac:dyDescent="0.3">
      <c r="A20" t="s">
        <v>165</v>
      </c>
      <c r="B20" t="s">
        <v>166</v>
      </c>
      <c r="C20" t="s">
        <v>144</v>
      </c>
      <c r="D20" t="s">
        <v>145</v>
      </c>
    </row>
    <row r="21" spans="1:4" x14ac:dyDescent="0.3">
      <c r="A21" t="s">
        <v>167</v>
      </c>
      <c r="B21" t="s">
        <v>168</v>
      </c>
      <c r="C21" t="s">
        <v>144</v>
      </c>
      <c r="D21" t="s">
        <v>145</v>
      </c>
    </row>
    <row r="22" spans="1:4" x14ac:dyDescent="0.3">
      <c r="A22" t="s">
        <v>169</v>
      </c>
      <c r="B22" t="s">
        <v>170</v>
      </c>
      <c r="C22" t="s">
        <v>125</v>
      </c>
    </row>
    <row r="23" spans="1:4" x14ac:dyDescent="0.3">
      <c r="A23" t="s">
        <v>171</v>
      </c>
      <c r="B23" t="s">
        <v>172</v>
      </c>
      <c r="C23" t="s">
        <v>144</v>
      </c>
      <c r="D23" t="s">
        <v>162</v>
      </c>
    </row>
    <row r="24" spans="1:4" x14ac:dyDescent="0.3">
      <c r="A24" t="s">
        <v>173</v>
      </c>
      <c r="B24" t="s">
        <v>174</v>
      </c>
      <c r="C24" t="s">
        <v>144</v>
      </c>
      <c r="D24" t="s">
        <v>145</v>
      </c>
    </row>
    <row r="25" spans="1:4" x14ac:dyDescent="0.3">
      <c r="A25" t="s">
        <v>175</v>
      </c>
      <c r="B25" t="s">
        <v>176</v>
      </c>
      <c r="C25" t="s">
        <v>144</v>
      </c>
      <c r="D25" t="s">
        <v>145</v>
      </c>
    </row>
    <row r="26" spans="1:4" x14ac:dyDescent="0.3">
      <c r="A26" t="s">
        <v>177</v>
      </c>
      <c r="B26" t="s">
        <v>178</v>
      </c>
      <c r="C26" t="s">
        <v>144</v>
      </c>
      <c r="D26" t="s">
        <v>145</v>
      </c>
    </row>
    <row r="27" spans="1:4" x14ac:dyDescent="0.3">
      <c r="A27" t="s">
        <v>179</v>
      </c>
      <c r="B27" t="s">
        <v>180</v>
      </c>
      <c r="C27" t="s">
        <v>125</v>
      </c>
    </row>
    <row r="28" spans="1:4" x14ac:dyDescent="0.3">
      <c r="A28" t="s">
        <v>181</v>
      </c>
      <c r="B28" t="s">
        <v>182</v>
      </c>
      <c r="C28" t="s">
        <v>144</v>
      </c>
      <c r="D28" t="s">
        <v>162</v>
      </c>
    </row>
    <row r="29" spans="1:4" x14ac:dyDescent="0.3">
      <c r="A29" t="s">
        <v>183</v>
      </c>
      <c r="B29" t="s">
        <v>184</v>
      </c>
      <c r="C29" t="s">
        <v>144</v>
      </c>
      <c r="D29" t="s">
        <v>145</v>
      </c>
    </row>
    <row r="30" spans="1:4" x14ac:dyDescent="0.3">
      <c r="A30" t="s">
        <v>185</v>
      </c>
      <c r="B30" t="s">
        <v>186</v>
      </c>
      <c r="C30" t="s">
        <v>144</v>
      </c>
      <c r="D30" t="s">
        <v>145</v>
      </c>
    </row>
    <row r="31" spans="1:4" x14ac:dyDescent="0.3">
      <c r="A31" t="s">
        <v>187</v>
      </c>
      <c r="B31" t="s">
        <v>188</v>
      </c>
      <c r="C31" t="s">
        <v>144</v>
      </c>
      <c r="D31" t="s">
        <v>145</v>
      </c>
    </row>
    <row r="32" spans="1:4" x14ac:dyDescent="0.3">
      <c r="A32" t="s">
        <v>189</v>
      </c>
      <c r="B32" t="s">
        <v>190</v>
      </c>
      <c r="C32" t="s">
        <v>125</v>
      </c>
    </row>
    <row r="33" spans="1:4" x14ac:dyDescent="0.3">
      <c r="A33" t="s">
        <v>191</v>
      </c>
      <c r="B33" t="s">
        <v>192</v>
      </c>
      <c r="C33" t="s">
        <v>144</v>
      </c>
      <c r="D33" t="s">
        <v>145</v>
      </c>
    </row>
    <row r="34" spans="1:4" x14ac:dyDescent="0.3">
      <c r="A34" t="s">
        <v>193</v>
      </c>
      <c r="B34" t="s">
        <v>194</v>
      </c>
      <c r="C34" t="s">
        <v>144</v>
      </c>
      <c r="D34" t="s">
        <v>145</v>
      </c>
    </row>
    <row r="35" spans="1:4" x14ac:dyDescent="0.3">
      <c r="A35" t="s">
        <v>195</v>
      </c>
      <c r="B35" t="s">
        <v>196</v>
      </c>
      <c r="C35" t="s">
        <v>144</v>
      </c>
      <c r="D35" t="s">
        <v>145</v>
      </c>
    </row>
    <row r="36" spans="1:4" x14ac:dyDescent="0.3">
      <c r="A36" t="s">
        <v>197</v>
      </c>
      <c r="B36" t="s">
        <v>198</v>
      </c>
      <c r="C36" t="s">
        <v>125</v>
      </c>
    </row>
    <row r="37" spans="1:4" x14ac:dyDescent="0.3">
      <c r="A37" t="s">
        <v>199</v>
      </c>
      <c r="B37" t="s">
        <v>200</v>
      </c>
      <c r="C37" t="s">
        <v>144</v>
      </c>
      <c r="D37" t="s">
        <v>145</v>
      </c>
    </row>
    <row r="38" spans="1:4" x14ac:dyDescent="0.3">
      <c r="A38" t="s">
        <v>201</v>
      </c>
      <c r="B38" t="s">
        <v>202</v>
      </c>
      <c r="C38" t="s">
        <v>144</v>
      </c>
      <c r="D38" t="s">
        <v>145</v>
      </c>
    </row>
    <row r="39" spans="1:4" x14ac:dyDescent="0.3">
      <c r="A39" t="s">
        <v>203</v>
      </c>
      <c r="B39" t="s">
        <v>204</v>
      </c>
      <c r="C39" t="s">
        <v>144</v>
      </c>
      <c r="D39" t="s">
        <v>145</v>
      </c>
    </row>
    <row r="40" spans="1:4" x14ac:dyDescent="0.3">
      <c r="A40" t="s">
        <v>205</v>
      </c>
      <c r="B40" t="s">
        <v>206</v>
      </c>
      <c r="C40" t="s">
        <v>125</v>
      </c>
    </row>
    <row r="41" spans="1:4" x14ac:dyDescent="0.3">
      <c r="A41" t="s">
        <v>207</v>
      </c>
      <c r="B41" t="s">
        <v>208</v>
      </c>
      <c r="C41" t="s">
        <v>144</v>
      </c>
      <c r="D41" t="s">
        <v>145</v>
      </c>
    </row>
    <row r="42" spans="1:4" x14ac:dyDescent="0.3">
      <c r="A42" t="s">
        <v>209</v>
      </c>
      <c r="B42" t="s">
        <v>210</v>
      </c>
      <c r="C42" t="s">
        <v>144</v>
      </c>
      <c r="D42" t="s">
        <v>145</v>
      </c>
    </row>
    <row r="43" spans="1:4" x14ac:dyDescent="0.3">
      <c r="A43" t="s">
        <v>211</v>
      </c>
      <c r="B43" t="s">
        <v>212</v>
      </c>
      <c r="C43" t="s">
        <v>144</v>
      </c>
      <c r="D43" t="s">
        <v>145</v>
      </c>
    </row>
    <row r="44" spans="1:4" x14ac:dyDescent="0.3">
      <c r="A44" t="s">
        <v>213</v>
      </c>
      <c r="B44" t="s">
        <v>214</v>
      </c>
      <c r="C44" t="s">
        <v>125</v>
      </c>
    </row>
    <row r="45" spans="1:4" x14ac:dyDescent="0.3">
      <c r="A45" t="s">
        <v>215</v>
      </c>
      <c r="B45" t="s">
        <v>216</v>
      </c>
      <c r="C45" t="s">
        <v>144</v>
      </c>
      <c r="D45" t="s">
        <v>145</v>
      </c>
    </row>
    <row r="46" spans="1:4" x14ac:dyDescent="0.3">
      <c r="A46" t="s">
        <v>217</v>
      </c>
      <c r="B46" t="s">
        <v>218</v>
      </c>
      <c r="C46" t="s">
        <v>144</v>
      </c>
      <c r="D46" t="s">
        <v>145</v>
      </c>
    </row>
    <row r="47" spans="1:4" x14ac:dyDescent="0.3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2026-09-07T15:31:43Z</dcterms:created>
  <dcterms:modified xsi:type="dcterms:W3CDTF">2026-09-07T15:31:50Z</dcterms:modified>
</cp:coreProperties>
</file>