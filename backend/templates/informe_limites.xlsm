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33BF720F-A859-4E6C-8F67-18C21B3B4B0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_xlnm.Print_Area" localSheetId="0">Reporte!$A$1:$I$89</definedName>
    <definedName name="CartaIPY">_DATOS!$F$6</definedName>
    <definedName name="CartaLLX">_DATOS!$F$4</definedName>
    <definedName name="FluidezGolpesX">_DATOS!$A$3:$A$5</definedName>
    <definedName name="FluidezHumedadY">_DATOS!$B$3:$B$5</definedName>
    <definedName name="FluidezLogX">_DATOS!$C$3:$C$5</definedName>
    <definedName name="LineaAX">_DATOS!$H$5:$H$6</definedName>
    <definedName name="LineaAY">_DATOS!$I$5:$I$6</definedName>
    <definedName name="PuntoLLX">_DATOS!$H$3</definedName>
    <definedName name="PuntoLLY">_DATOS!$I$3</definedName>
    <definedName name="RegresionX">_DATOS!$D$3:$D$9</definedName>
    <definedName name="RegresionY">_DATOS!$E$3:$E$9</definedName>
  </definedNames>
  <calcPr calcId="191029"/>
</workbook>
</file>

<file path=xl/calcChain.xml><?xml version="1.0" encoding="utf-8"?>
<calcChain xmlns="http://schemas.openxmlformats.org/spreadsheetml/2006/main">
  <c r="A5" i="2" l="1"/>
  <c r="C5" i="2" s="1"/>
  <c r="A4" i="2"/>
  <c r="C4" i="2" s="1"/>
  <c r="A3" i="2"/>
  <c r="C3" i="2" s="1"/>
  <c r="C53" i="1"/>
  <c r="C54" i="1" s="1"/>
  <c r="B53" i="1"/>
  <c r="B54" i="1" s="1"/>
  <c r="B55" i="1" s="1"/>
  <c r="C52" i="1"/>
  <c r="B52" i="1"/>
  <c r="C36" i="1"/>
  <c r="C37" i="1" s="1"/>
  <c r="B36" i="1"/>
  <c r="B37" i="1" s="1"/>
  <c r="B38" i="1" s="1"/>
  <c r="F5" i="2" s="1"/>
  <c r="C35" i="1"/>
  <c r="B35" i="1"/>
  <c r="D24" i="1"/>
  <c r="D25" i="1" s="1"/>
  <c r="D26" i="1" s="1"/>
  <c r="C24" i="1"/>
  <c r="C25" i="1" s="1"/>
  <c r="C26" i="1" s="1"/>
  <c r="B24" i="1"/>
  <c r="B25" i="1" s="1"/>
  <c r="B26" i="1" s="1"/>
  <c r="B27" i="1" s="1"/>
  <c r="D23" i="1"/>
  <c r="C23" i="1"/>
  <c r="B23" i="1"/>
  <c r="B39" i="1" l="1"/>
  <c r="F4" i="2"/>
  <c r="F6" i="2" s="1"/>
  <c r="B5" i="2"/>
  <c r="B3" i="2"/>
  <c r="B4" i="2"/>
  <c r="F2" i="2" l="1"/>
  <c r="F1" i="2"/>
  <c r="E9" i="2" l="1"/>
  <c r="E8" i="2"/>
  <c r="E4" i="2"/>
  <c r="E7" i="2"/>
  <c r="E5" i="2"/>
  <c r="E6" i="2"/>
  <c r="F3" i="2"/>
  <c r="I3" i="2" s="1"/>
  <c r="E3" i="2"/>
</calcChain>
</file>

<file path=xl/sharedStrings.xml><?xml version="1.0" encoding="utf-8"?>
<sst xmlns="http://schemas.openxmlformats.org/spreadsheetml/2006/main" count="308" uniqueCount="221">
  <si>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</si>
  <si>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</si>
  <si>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</si>
  <si>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</si>
  <si>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</si>
  <si>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</si>
  <si>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</si>
  <si>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</si>
  <si>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</si>
  <si>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</si>
  <si>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</si>
  <si>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</si>
  <si>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</si>
  <si>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</si>
  <si>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</si>
  <si>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</si>
  <si>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</si>
  <si>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</si>
  <si>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</si>
  <si>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</si>
  <si>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</si>
  <si>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</si>
  <si>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</si>
  <si>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</si>
  <si>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DETERMINACIÓN DEL LÍMITE LÍQUIDO - MTC E 110</t>
  </si>
  <si>
    <t>Parámetro</t>
  </si>
  <si>
    <t>1</t>
  </si>
  <si>
    <t>2</t>
  </si>
  <si>
    <t>3</t>
  </si>
  <si>
    <t>Cod. Recipiente</t>
  </si>
  <si>
    <t>N° de Golpes</t>
  </si>
  <si>
    <t>Peso del recipiente (g)</t>
  </si>
  <si>
    <t>Recip. + suelo húmedo (g)</t>
  </si>
  <si>
    <t>Recip. + suelo seco (g)</t>
  </si>
  <si>
    <t>Peso agua (g)</t>
  </si>
  <si>
    <t>Peso suelo seco (g)</t>
  </si>
  <si>
    <t>% de Humedad</t>
  </si>
  <si>
    <t>LL Corregido (%)</t>
  </si>
  <si>
    <t>LÍMITE LÍQUIDO (L.L.)</t>
  </si>
  <si>
    <t>DETERMINACIÓN DEL LÍMITE PLÁSTICO - MTC E 111</t>
  </si>
  <si>
    <t>LÍMITE PLÁSTICO (L.P.)</t>
  </si>
  <si>
    <t>ÍNDICE DE PLASTICIDAD (I.P.)</t>
  </si>
  <si>
    <t>IP</t>
  </si>
  <si>
    <t>Descripción</t>
  </si>
  <si>
    <t>0 - 3</t>
  </si>
  <si>
    <t>No plástico</t>
  </si>
  <si>
    <t>3 - 15</t>
  </si>
  <si>
    <t>Ligeramente plástico</t>
  </si>
  <si>
    <t>15 - 30</t>
  </si>
  <si>
    <t>Baja plasticidad</t>
  </si>
  <si>
    <t>&gt; 30</t>
  </si>
  <si>
    <t>Alta plasticidad</t>
  </si>
  <si>
    <t>ENSAYO DE HUMEDAD NATURAL - MTC E 108</t>
  </si>
  <si>
    <t>Muestra 1</t>
  </si>
  <si>
    <t>Muestra 2</t>
  </si>
  <si>
    <t>Cod. Cápsula</t>
  </si>
  <si>
    <t>Peso de cápsula (g)</t>
  </si>
  <si>
    <t>Cáps. + suelo húmedo (g)</t>
  </si>
  <si>
    <t>Cáps. + suelo seco (g)</t>
  </si>
  <si>
    <t>Peso del agua (g)</t>
  </si>
  <si>
    <t>Peso del suelo seco (g)</t>
  </si>
  <si>
    <t>Contenido de humedad (%)</t>
  </si>
  <si>
    <t>HUMEDAD NATURAL (w %)</t>
  </si>
  <si>
    <t>GRÁFICOS DEL ENSAYO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</si>
  <si>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</si>
  <si>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</si>
  <si>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</si>
  <si>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</si>
  <si>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</si>
  <si>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</si>
  <si>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</si>
  <si>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</si>
  <si>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</si>
  <si>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</si>
  <si>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</si>
  <si>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</si>
  <si>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</si>
  <si>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</si>
  <si>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</si>
  <si>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</si>
  <si>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</si>
  <si>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</si>
  <si>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</si>
  <si>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</si>
  <si>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</si>
  <si>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</si>
  <si>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curva_fluidez</t>
  </si>
  <si>
    <t>Determinación del Límite Líquido (Curva de Fluidez)</t>
  </si>
  <si>
    <t>xy</t>
  </si>
  <si>
    <t>A58</t>
  </si>
  <si>
    <t>SI</t>
  </si>
  <si>
    <t>Número de Golpes</t>
  </si>
  <si>
    <t>Línea de Fluidez (Regresión)</t>
  </si>
  <si>
    <t>linea</t>
  </si>
  <si>
    <t>'_DATOS'!$D$3:$D$9</t>
  </si>
  <si>
    <t>'_DATOS'!$E$3:$E$9</t>
  </si>
  <si>
    <t>DC2626</t>
  </si>
  <si>
    <t>Puntos de Ensayo</t>
  </si>
  <si>
    <t>marcador</t>
  </si>
  <si>
    <t>'_DATOS'!$A$3:$A$5</t>
  </si>
  <si>
    <t>'_DATOS'!$B$3:$B$5</t>
  </si>
  <si>
    <t>1E40AF</t>
  </si>
  <si>
    <t>L.L. (25 golpes)</t>
  </si>
  <si>
    <t>'_DATOS'!$H$3:$H$3</t>
  </si>
  <si>
    <t>'_DATOS'!$I$3:$I$3</t>
  </si>
  <si>
    <t>059669</t>
  </si>
  <si>
    <t>carta_plasticidad</t>
  </si>
  <si>
    <t>Carta de Plasticidad de Casagrande</t>
  </si>
  <si>
    <t>F58</t>
  </si>
  <si>
    <t>NO</t>
  </si>
  <si>
    <t>Límite Líquido (LL)</t>
  </si>
  <si>
    <t>Índice de Plasticidad (IP)</t>
  </si>
  <si>
    <t>Línea A</t>
  </si>
  <si>
    <t>'_DATOS'!$H$5:$H$6</t>
  </si>
  <si>
    <t>'_DATOS'!$I$5:$I$6</t>
  </si>
  <si>
    <t>475569</t>
  </si>
  <si>
    <t>Muestra</t>
  </si>
  <si>
    <t>'_DATOS'!$F$4:$F$4</t>
  </si>
  <si>
    <t>'_DATOS'!$F$6:$F$6</t>
  </si>
  <si>
    <t>7C3AED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</si>
  <si>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</si>
  <si>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</si>
  <si>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</si>
  <si>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</si>
  <si>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</si>
  <si>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</si>
  <si>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</si>
  <si>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</si>
  <si>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</si>
  <si>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</si>
  <si>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</si>
  <si>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</si>
  <si>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</si>
  <si>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</si>
  <si>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</si>
  <si>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</si>
  <si>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</si>
  <si>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</si>
  <si>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</si>
  <si>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</si>
  <si>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</si>
  <si>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</si>
  <si>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</si>
  <si>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</si>
  <si>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</si>
  <si>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</si>
  <si>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</si>
  <si>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</si>
  <si>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</si>
  <si>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</si>
  <si>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</si>
  <si>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</si>
  <si>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</si>
  <si>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</si>
  <si>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</si>
  <si>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</si>
  <si>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</si>
  <si>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</si>
  <si>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datos.tables.limite_liquido.1.codigo</t>
  </si>
  <si>
    <t>B18</t>
  </si>
  <si>
    <t>datos.tables.limite_liquido.1.golpes</t>
  </si>
  <si>
    <t>B19</t>
  </si>
  <si>
    <t>0</t>
  </si>
  <si>
    <t>datos.tables.limite_liquido.1.tara</t>
  </si>
  <si>
    <t>B20</t>
  </si>
  <si>
    <t>datos.tables.limite_liquido.1.humedo</t>
  </si>
  <si>
    <t>B21</t>
  </si>
  <si>
    <t>datos.tables.limite_liquido.1.seco</t>
  </si>
  <si>
    <t>B22</t>
  </si>
  <si>
    <t>datos.tables.limite_liquido.2.codigo</t>
  </si>
  <si>
    <t>C18</t>
  </si>
  <si>
    <t>datos.tables.limite_liquido.2.golpes</t>
  </si>
  <si>
    <t>C19</t>
  </si>
  <si>
    <t>datos.tables.limite_liquido.2.tara</t>
  </si>
  <si>
    <t>C20</t>
  </si>
  <si>
    <t>datos.tables.limite_liquido.2.humedo</t>
  </si>
  <si>
    <t>C21</t>
  </si>
  <si>
    <t>datos.tables.limite_liquido.2.seco</t>
  </si>
  <si>
    <t>C22</t>
  </si>
  <si>
    <t>datos.tables.limite_liquido.3.codigo</t>
  </si>
  <si>
    <t>D18</t>
  </si>
  <si>
    <t>datos.tables.limite_liquido.3.golpes</t>
  </si>
  <si>
    <t>D19</t>
  </si>
  <si>
    <t>datos.tables.limite_liquido.3.tara</t>
  </si>
  <si>
    <t>D20</t>
  </si>
  <si>
    <t>datos.tables.limite_liquido.3.humedo</t>
  </si>
  <si>
    <t>D21</t>
  </si>
  <si>
    <t>datos.tables.limite_liquido.3.seco</t>
  </si>
  <si>
    <t>D22</t>
  </si>
  <si>
    <t>datos.tables.limite_plastico.1.codigo</t>
  </si>
  <si>
    <t>B31</t>
  </si>
  <si>
    <t>datos.tables.limite_plastico.1.tara</t>
  </si>
  <si>
    <t>B32</t>
  </si>
  <si>
    <t>datos.tables.limite_plastico.1.humedo</t>
  </si>
  <si>
    <t>B33</t>
  </si>
  <si>
    <t>datos.tables.limite_plastico.1.seco</t>
  </si>
  <si>
    <t>B34</t>
  </si>
  <si>
    <t>datos.tables.limite_plastico.2.codigo</t>
  </si>
  <si>
    <t>C31</t>
  </si>
  <si>
    <t>datos.tables.limite_plastico.2.tara</t>
  </si>
  <si>
    <t>C32</t>
  </si>
  <si>
    <t>datos.tables.limite_plastico.2.humedo</t>
  </si>
  <si>
    <t>C33</t>
  </si>
  <si>
    <t>datos.tables.limite_plastico.2.seco</t>
  </si>
  <si>
    <t>C34</t>
  </si>
  <si>
    <t>datos.tables.humedad_natural.1.codigo</t>
  </si>
  <si>
    <t>B48</t>
  </si>
  <si>
    <t>datos.tables.humedad_natural.1.tara</t>
  </si>
  <si>
    <t>B49</t>
  </si>
  <si>
    <t>datos.tables.humedad_natural.1.humedo</t>
  </si>
  <si>
    <t>B50</t>
  </si>
  <si>
    <t>datos.tables.humedad_natural.1.seco</t>
  </si>
  <si>
    <t>B51</t>
  </si>
  <si>
    <t>datos.tables.humedad_natural.2.codigo</t>
  </si>
  <si>
    <t>C48</t>
  </si>
  <si>
    <t>datos.tables.humedad_natural.2.tara</t>
  </si>
  <si>
    <t>C49</t>
  </si>
  <si>
    <t>datos.tables.humedad_natural.2.humedo</t>
  </si>
  <si>
    <t>C50</t>
  </si>
  <si>
    <t>datos.tables.humedad_natural.2.seco</t>
  </si>
  <si>
    <t>C51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</si>
</sst>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&quot; %&quot;"/>
  </numFmts>
  <fonts count="15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b/>
      <sz val="9"/>
      <color rgb="FFFFFFFF"/>
      <name val="Calibri"/>
    </font>
    <font>
      <sz val="9"/>
      <color rgb="FF1D4ED8"/>
      <name val="Calibri"/>
    </font>
    <font>
      <b/>
      <sz val="11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5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 style="thin">
        <color rgb="FF0F172A"/>
      </bottom>
      <diagonal/>
    </border>
    <border>
      <left/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10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2" fontId="12" fillId="7" borderId="1" xfId="0" applyNumberFormat="1" applyFont="1" applyFill="1" applyBorder="1" applyAlignment="1">
      <alignment horizontal="center" vertical="center" wrapText="1"/>
    </xf>
    <xf numFmtId="0" fontId="0" fillId="0" borderId="4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11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13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right" vertical="center"/>
    </xf>
    <xf numFmtId="0" fontId="9" fillId="5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de Fluidez — % Humedad vs N° de Golpes (esc. log)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Línea de Fluidez (Regresión)</c:v>
          </c:tx>
          <c:spPr>
            <a:ln w="22000">
              <a:solidFill>
                <a:srgbClr val="DC2626"/>
              </a:solidFill>
              <a:prstDash val="dash"/>
            </a:ln>
          </c:spPr>
          <c:marker>
            <c:symbol val="none"/>
          </c:marker>
          <c:xVal>
            <c:numRef>
              <c:f>_DATOS!$D$3:$D$9</c:f>
              <c:numCache>
                <c:formatCode>General</c:formatCode>
                <c:ptCount val="7"/>
                <c:pt idx="0">
                  <c:v>10</c:v>
                </c:pt>
                <c:pt idx="1">
                  <c:v>12.5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35</c:v>
                </c:pt>
                <c:pt idx="6">
                  <c:v>50</c:v>
                </c:pt>
              </c:numCache>
            </c:numRef>
          </c:xVal>
          <c:yVal>
            <c:numRef>
              <c:f>_DATOS!$E$3:$E$9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12-4122-9C8F-02FFFA2F4E01}"/>
            </c:ext>
          </c:extLst>
        </c:ser>
        <c:ser>
          <c:idx val="1"/>
          <c:order val="1"/>
          <c:tx>
            <c:v>Puntos de Ensayo</c:v>
          </c:tx>
          <c:spPr>
            <a:ln>
              <a:noFill/>
              <a:prstDash val="solid"/>
            </a:ln>
          </c:spPr>
          <c:marker>
            <c:symbol val="circle"/>
            <c:size val="7"/>
            <c:spPr>
              <a:solidFill>
                <a:srgbClr val="1E40AF"/>
              </a:solidFill>
              <a:ln>
                <a:solidFill>
                  <a:srgbClr val="1E40AF"/>
                </a:solidFill>
                <a:prstDash val="solid"/>
              </a:ln>
            </c:spPr>
          </c:marker>
          <c:xVal>
            <c:numRef>
              <c:f>_DATOS!$A$3:$A$5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_DATOS!$B$3:$B$5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2-4122-9C8F-02FFFA2F4E01}"/>
            </c:ext>
          </c:extLst>
        </c:ser>
        <c:ser>
          <c:idx val="2"/>
          <c:order val="2"/>
          <c:tx>
            <c:v>L.L. (25 golpes)</c:v>
          </c:tx>
          <c:spPr>
            <a:ln>
              <a:noFill/>
              <a:prstDash val="solid"/>
            </a:ln>
          </c:spPr>
          <c:marker>
            <c:symbol val="circle"/>
            <c:size val="9"/>
            <c:spPr>
              <a:solidFill>
                <a:srgbClr val="059669"/>
              </a:solidFill>
              <a:ln>
                <a:solidFill>
                  <a:srgbClr val="059669"/>
                </a:solidFill>
                <a:prstDash val="solid"/>
              </a:ln>
            </c:spPr>
          </c:marker>
          <c:xVal>
            <c:numRef>
              <c:f>_DATOS!$H$3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_DATOS!$I$3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12-4122-9C8F-02FFFA2F4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logBase val="10"/>
          <c:orientation val="minMax"/>
          <c:max val="50"/>
          <c:min val="10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Carta de Plasticidad — IP vs Límite Líquido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Línea A</c:v>
          </c:tx>
          <c:spPr>
            <a:ln w="22000">
              <a:solidFill>
                <a:srgbClr val="475569"/>
              </a:solidFill>
              <a:prstDash val="dash"/>
            </a:ln>
          </c:spPr>
          <c:marker>
            <c:symbol val="none"/>
          </c:marker>
          <c:xVal>
            <c:numRef>
              <c:f>_DATOS!$H$5:$H$6</c:f>
              <c:numCache>
                <c:formatCode>General</c:formatCode>
                <c:ptCount val="2"/>
                <c:pt idx="0">
                  <c:v>20</c:v>
                </c:pt>
                <c:pt idx="1">
                  <c:v>100</c:v>
                </c:pt>
              </c:numCache>
            </c:numRef>
          </c:xVal>
          <c:yVal>
            <c:numRef>
              <c:f>_DATOS!$I$5:$I$6</c:f>
              <c:numCache>
                <c:formatCode>General</c:formatCode>
                <c:ptCount val="2"/>
                <c:pt idx="0">
                  <c:v>0</c:v>
                </c:pt>
                <c:pt idx="1">
                  <c:v>58.4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CF-49C7-9A27-AA5AAA86CD09}"/>
            </c:ext>
          </c:extLst>
        </c:ser>
        <c:ser>
          <c:idx val="1"/>
          <c:order val="1"/>
          <c:tx>
            <c:v>Muestra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7C3AED"/>
              </a:solidFill>
              <a:ln>
                <a:solidFill>
                  <a:srgbClr val="7C3AED"/>
                </a:solidFill>
                <a:prstDash val="solid"/>
              </a:ln>
            </c:spPr>
          </c:marker>
          <c:xVal>
            <c:numRef>
              <c:f>_DATOS!$F$4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_DATOS!$F$6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CF-49C7-9A27-AA5AAA86C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00"/>
          <c:min val="0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  <c:max val="6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57</xdr:row>
      <xdr:rowOff>0</xdr:rowOff>
    </xdr:from>
    <xdr:ext cx="4320000" cy="40319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0</xdr:colOff>
      <xdr:row>57</xdr:row>
      <xdr:rowOff>0</xdr:rowOff>
    </xdr:from>
    <xdr:ext cx="2988000" cy="4031999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88"/>
  <sheetViews>
    <sheetView showGridLines="0" tabSelected="1" workbookViewId="0"/>
  </sheetViews>
  <sheetFormatPr baseColWidth="10" defaultColWidth="8.88671875" defaultRowHeight="14.4" x14ac:dyDescent="0.3"/>
  <cols>
    <col min="1" max="1" width="34" customWidth="1"/>
    <col min="2" max="9" width="11" customWidth="1"/>
  </cols>
  <sheetData>
    <row r="1" spans="1:9" ht="19.95" customHeight="1" x14ac:dyDescent="0.3">
      <c r="C1" s="24" t="s">
        <v>0</v>
      </c>
      <c r="D1" s="15"/>
      <c r="E1" s="15"/>
      <c r="F1" s="15"/>
      <c r="G1" s="15"/>
    </row>
    <row r="2" spans="1:9" ht="15" customHeight="1" x14ac:dyDescent="0.3">
      <c r="C2" s="20" t="s">
        <v>1</v>
      </c>
      <c r="D2" s="15"/>
      <c r="E2" s="15"/>
      <c r="F2" s="15"/>
      <c r="G2" s="15"/>
    </row>
    <row r="3" spans="1:9" ht="12" customHeight="1" x14ac:dyDescent="0.3">
      <c r="C3" s="23" t="s">
        <v>2</v>
      </c>
      <c r="D3" s="15"/>
      <c r="E3" s="15"/>
      <c r="F3" s="15"/>
      <c r="G3" s="15"/>
    </row>
    <row r="4" spans="1:9" ht="12" customHeight="1" x14ac:dyDescent="0.3">
      <c r="C4" s="23" t="s">
        <v>3</v>
      </c>
      <c r="D4" s="15"/>
      <c r="E4" s="15"/>
      <c r="F4" s="15"/>
      <c r="G4" s="15"/>
    </row>
    <row r="5" spans="1:9" ht="13.95" customHeight="1" x14ac:dyDescent="0.3">
      <c r="C5" s="20" t="s">
        <v>4</v>
      </c>
      <c r="D5" s="15"/>
      <c r="E5" s="15"/>
      <c r="F5" s="15"/>
      <c r="G5" s="15"/>
    </row>
    <row r="6" spans="1:9" ht="12" customHeight="1" x14ac:dyDescent="0.3">
      <c r="C6" s="14" t="s">
        <v>5</v>
      </c>
      <c r="D6" s="15"/>
      <c r="E6" s="15"/>
      <c r="F6" s="15"/>
      <c r="G6" s="15"/>
    </row>
    <row r="7" spans="1:9" ht="4.05" customHeight="1" x14ac:dyDescent="0.3"/>
    <row r="8" spans="1:9" ht="19.95" customHeight="1" x14ac:dyDescent="0.3">
      <c r="A8" s="10" t="s">
        <v>6</v>
      </c>
      <c r="B8" s="26"/>
      <c r="C8" s="19"/>
      <c r="D8" s="19"/>
      <c r="E8" s="19"/>
      <c r="F8" s="19"/>
      <c r="G8" s="19"/>
      <c r="H8" s="19"/>
      <c r="I8" s="19"/>
    </row>
    <row r="9" spans="1:9" ht="6" customHeight="1" x14ac:dyDescent="0.3"/>
    <row r="10" spans="1:9" ht="19.95" customHeight="1" x14ac:dyDescent="0.3">
      <c r="A10" s="1" t="s">
        <v>7</v>
      </c>
      <c r="B10" s="22"/>
      <c r="C10" s="22"/>
      <c r="D10" s="22"/>
      <c r="E10" s="22"/>
      <c r="F10" s="22"/>
      <c r="G10" s="22"/>
      <c r="H10" s="22"/>
      <c r="I10" s="22"/>
    </row>
    <row r="11" spans="1:9" ht="19.95" customHeight="1" x14ac:dyDescent="0.3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19.95" customHeight="1" x14ac:dyDescent="0.3">
      <c r="A12" s="1" t="s">
        <v>13</v>
      </c>
      <c r="B12" s="30"/>
      <c r="C12" s="31"/>
      <c r="D12" s="32"/>
      <c r="E12" s="11" t="s">
        <v>14</v>
      </c>
      <c r="F12" s="12"/>
      <c r="G12" s="27"/>
      <c r="H12" s="15"/>
      <c r="I12" s="15"/>
    </row>
    <row r="13" spans="1:9" ht="19.95" customHeight="1" x14ac:dyDescent="0.3">
      <c r="A13" s="1" t="s">
        <v>15</v>
      </c>
      <c r="B13" s="1" t="s">
        <v>16</v>
      </c>
      <c r="C13" s="28"/>
      <c r="D13" s="29"/>
      <c r="E13" s="1" t="s">
        <v>17</v>
      </c>
      <c r="F13" s="28"/>
      <c r="G13" s="29"/>
      <c r="H13" s="1" t="s">
        <v>18</v>
      </c>
      <c r="I13" s="2"/>
    </row>
    <row r="14" spans="1:9" ht="19.95" customHeight="1" x14ac:dyDescent="0.3">
      <c r="A14" s="1" t="s">
        <v>19</v>
      </c>
      <c r="B14" s="1" t="s">
        <v>20</v>
      </c>
      <c r="C14" s="3"/>
      <c r="D14" s="1" t="s">
        <v>21</v>
      </c>
      <c r="E14" s="3"/>
      <c r="F14" s="1" t="s">
        <v>22</v>
      </c>
      <c r="G14" s="3"/>
      <c r="H14" s="1" t="s">
        <v>23</v>
      </c>
      <c r="I14" s="3"/>
    </row>
    <row r="15" spans="1:9" ht="6" customHeight="1" x14ac:dyDescent="0.3"/>
    <row r="16" spans="1:9" x14ac:dyDescent="0.3">
      <c r="A16" s="16" t="s">
        <v>24</v>
      </c>
      <c r="B16" s="17"/>
      <c r="C16" s="17"/>
      <c r="D16" s="17"/>
    </row>
    <row r="17" spans="1:4" ht="16.05" customHeight="1" x14ac:dyDescent="0.3">
      <c r="A17" s="4" t="s">
        <v>25</v>
      </c>
      <c r="B17" s="4" t="s">
        <v>26</v>
      </c>
      <c r="C17" s="4" t="s">
        <v>27</v>
      </c>
      <c r="D17" s="4" t="s">
        <v>28</v>
      </c>
    </row>
    <row r="18" spans="1:4" x14ac:dyDescent="0.3">
      <c r="A18" s="5" t="s">
        <v>29</v>
      </c>
      <c r="B18" s="5"/>
      <c r="C18" s="5"/>
      <c r="D18" s="5"/>
    </row>
    <row r="19" spans="1:4" x14ac:dyDescent="0.3">
      <c r="A19" s="5" t="s">
        <v>30</v>
      </c>
      <c r="B19" s="6"/>
      <c r="C19" s="6"/>
      <c r="D19" s="6"/>
    </row>
    <row r="20" spans="1:4" x14ac:dyDescent="0.3">
      <c r="A20" s="5" t="s">
        <v>31</v>
      </c>
      <c r="B20" s="7"/>
      <c r="C20" s="7"/>
      <c r="D20" s="7"/>
    </row>
    <row r="21" spans="1:4" x14ac:dyDescent="0.3">
      <c r="A21" s="5" t="s">
        <v>32</v>
      </c>
      <c r="B21" s="7"/>
      <c r="C21" s="7"/>
      <c r="D21" s="7"/>
    </row>
    <row r="22" spans="1:4" x14ac:dyDescent="0.3">
      <c r="A22" s="5" t="s">
        <v>33</v>
      </c>
      <c r="B22" s="7"/>
      <c r="C22" s="7"/>
      <c r="D22" s="7"/>
    </row>
    <row r="23" spans="1:4" x14ac:dyDescent="0.3">
      <c r="A23" s="5" t="s">
        <v>34</v>
      </c>
      <c r="B23" s="8" t="str">
        <f>IF(COUNT(B21:B22)=2,B21-B22,"")</f>
        <v/>
      </c>
      <c r="C23" s="8" t="str">
        <f>IF(COUNT(C21:C22)=2,C21-C22,"")</f>
        <v/>
      </c>
      <c r="D23" s="8" t="str">
        <f>IF(COUNT(D21:D22)=2,D21-D22,"")</f>
        <v/>
      </c>
    </row>
    <row r="24" spans="1:4" x14ac:dyDescent="0.3">
      <c r="A24" s="5" t="s">
        <v>35</v>
      </c>
      <c r="B24" s="8" t="str">
        <f>IF(COUNT(B20,B22)=2,B22-B20,"")</f>
        <v/>
      </c>
      <c r="C24" s="8" t="str">
        <f>IF(COUNT(C20,C22)=2,C22-C20,"")</f>
        <v/>
      </c>
      <c r="D24" s="8" t="str">
        <f>IF(COUNT(D20,D22)=2,D22-D20,"")</f>
        <v/>
      </c>
    </row>
    <row r="25" spans="1:4" x14ac:dyDescent="0.3">
      <c r="A25" s="5" t="s">
        <v>36</v>
      </c>
      <c r="B25" s="8" t="str">
        <f>IF(AND(ISNUMBER(B24),N(B24)&gt;0),IFERROR(B23/B24*100,0),"")</f>
        <v/>
      </c>
      <c r="C25" s="8" t="str">
        <f>IF(AND(ISNUMBER(C24),N(C24)&gt;0),IFERROR(C23/C24*100,0),"")</f>
        <v/>
      </c>
      <c r="D25" s="8" t="str">
        <f>IF(AND(ISNUMBER(D24),N(D24)&gt;0),IFERROR(D23/D24*100,0),"")</f>
        <v/>
      </c>
    </row>
    <row r="26" spans="1:4" x14ac:dyDescent="0.3">
      <c r="A26" s="5" t="s">
        <v>37</v>
      </c>
      <c r="B26" s="8" t="str">
        <f>IF(AND(ISNUMBER(B25),N(B19)&gt;0),B25*POWER(B19/25,0.121),"")</f>
        <v/>
      </c>
      <c r="C26" s="8" t="str">
        <f>IF(AND(ISNUMBER(C25),N(C19)&gt;0),C25*POWER(C19/25,0.121),"")</f>
        <v/>
      </c>
      <c r="D26" s="8" t="str">
        <f>IF(AND(ISNUMBER(D25),N(D19)&gt;0),D25*POWER(D19/25,0.121),"")</f>
        <v/>
      </c>
    </row>
    <row r="27" spans="1:4" x14ac:dyDescent="0.3">
      <c r="A27" s="1" t="s">
        <v>38</v>
      </c>
      <c r="B27" s="21">
        <f>IF(COUNTIF(B19:D19,25)&gt;0,INDEX(B25:D25,MATCH(25,B19:D19,0)),IF(COUNT(B26:D26)&gt;0,AVERAGE(B26:D26),0))</f>
        <v>0</v>
      </c>
      <c r="C27" s="22"/>
      <c r="D27" s="22"/>
    </row>
    <row r="28" spans="1:4" ht="6" customHeight="1" x14ac:dyDescent="0.3"/>
    <row r="29" spans="1:4" x14ac:dyDescent="0.3">
      <c r="A29" s="16" t="s">
        <v>39</v>
      </c>
      <c r="B29" s="17"/>
      <c r="C29" s="17"/>
    </row>
    <row r="30" spans="1:4" ht="16.05" customHeight="1" x14ac:dyDescent="0.3">
      <c r="A30" s="4" t="s">
        <v>25</v>
      </c>
      <c r="B30" s="4" t="s">
        <v>26</v>
      </c>
      <c r="C30" s="4" t="s">
        <v>27</v>
      </c>
    </row>
    <row r="31" spans="1:4" x14ac:dyDescent="0.3">
      <c r="A31" s="5" t="s">
        <v>29</v>
      </c>
      <c r="B31" s="5"/>
      <c r="C31" s="5"/>
    </row>
    <row r="32" spans="1:4" x14ac:dyDescent="0.3">
      <c r="A32" s="5" t="s">
        <v>31</v>
      </c>
      <c r="B32" s="7"/>
      <c r="C32" s="7"/>
    </row>
    <row r="33" spans="1:5" x14ac:dyDescent="0.3">
      <c r="A33" s="5" t="s">
        <v>32</v>
      </c>
      <c r="B33" s="7"/>
      <c r="C33" s="7"/>
    </row>
    <row r="34" spans="1:5" x14ac:dyDescent="0.3">
      <c r="A34" s="5" t="s">
        <v>33</v>
      </c>
      <c r="B34" s="7"/>
      <c r="C34" s="7"/>
    </row>
    <row r="35" spans="1:5" x14ac:dyDescent="0.3">
      <c r="A35" s="5" t="s">
        <v>34</v>
      </c>
      <c r="B35" s="8" t="str">
        <f>IF(COUNT(B33:B34)=2,B33-B34,"")</f>
        <v/>
      </c>
      <c r="C35" s="8" t="str">
        <f>IF(COUNT(C33:C34)=2,C33-C34,"")</f>
        <v/>
      </c>
    </row>
    <row r="36" spans="1:5" x14ac:dyDescent="0.3">
      <c r="A36" s="5" t="s">
        <v>35</v>
      </c>
      <c r="B36" s="8" t="str">
        <f>IF(COUNT(B32,B34)=2,B34-B32,"")</f>
        <v/>
      </c>
      <c r="C36" s="8" t="str">
        <f>IF(COUNT(C32,C34)=2,C34-C32,"")</f>
        <v/>
      </c>
    </row>
    <row r="37" spans="1:5" x14ac:dyDescent="0.3">
      <c r="A37" s="5" t="s">
        <v>36</v>
      </c>
      <c r="B37" s="8" t="str">
        <f>IF(AND(ISNUMBER(B36),N(B36)&gt;0),IFERROR(B35/B36*100,0),"")</f>
        <v/>
      </c>
      <c r="C37" s="8" t="str">
        <f>IF(AND(ISNUMBER(C36),N(C36)&gt;0),IFERROR(C35/C36*100,0),"")</f>
        <v/>
      </c>
    </row>
    <row r="38" spans="1:5" x14ac:dyDescent="0.3">
      <c r="A38" s="1" t="s">
        <v>40</v>
      </c>
      <c r="B38" s="21">
        <f>IF(COUNT(B37:C37)&gt;0,AVERAGE(B37:C37),0)</f>
        <v>0</v>
      </c>
      <c r="C38" s="22"/>
    </row>
    <row r="39" spans="1:5" x14ac:dyDescent="0.3">
      <c r="A39" s="1" t="s">
        <v>41</v>
      </c>
      <c r="B39" s="21">
        <f>IF(AND(ISNUMBER(B27),ISNUMBER(B38)),B27-B38,"")</f>
        <v>0</v>
      </c>
      <c r="C39" s="22"/>
    </row>
    <row r="40" spans="1:5" x14ac:dyDescent="0.3">
      <c r="A40" s="18" t="s">
        <v>42</v>
      </c>
      <c r="B40" s="19"/>
      <c r="C40" s="18" t="s">
        <v>43</v>
      </c>
      <c r="D40" s="19"/>
      <c r="E40" s="19"/>
    </row>
    <row r="41" spans="1:5" x14ac:dyDescent="0.3">
      <c r="A41" s="13" t="s">
        <v>44</v>
      </c>
      <c r="B41" s="13"/>
      <c r="C41" s="13" t="s">
        <v>45</v>
      </c>
      <c r="D41" s="13"/>
      <c r="E41" s="13"/>
    </row>
    <row r="42" spans="1:5" x14ac:dyDescent="0.3">
      <c r="A42" s="13" t="s">
        <v>46</v>
      </c>
      <c r="B42" s="13"/>
      <c r="C42" s="13" t="s">
        <v>47</v>
      </c>
      <c r="D42" s="13"/>
      <c r="E42" s="13"/>
    </row>
    <row r="43" spans="1:5" x14ac:dyDescent="0.3">
      <c r="A43" s="13" t="s">
        <v>48</v>
      </c>
      <c r="B43" s="13"/>
      <c r="C43" s="13" t="s">
        <v>49</v>
      </c>
      <c r="D43" s="13"/>
      <c r="E43" s="13"/>
    </row>
    <row r="44" spans="1:5" x14ac:dyDescent="0.3">
      <c r="A44" s="13" t="s">
        <v>50</v>
      </c>
      <c r="B44" s="13"/>
      <c r="C44" s="13" t="s">
        <v>51</v>
      </c>
      <c r="D44" s="13"/>
      <c r="E44" s="13"/>
    </row>
    <row r="45" spans="1:5" ht="6" customHeight="1" x14ac:dyDescent="0.3"/>
    <row r="46" spans="1:5" x14ac:dyDescent="0.3">
      <c r="A46" s="16" t="s">
        <v>52</v>
      </c>
      <c r="B46" s="17"/>
      <c r="C46" s="17"/>
    </row>
    <row r="47" spans="1:5" ht="16.05" customHeight="1" x14ac:dyDescent="0.3">
      <c r="A47" s="4" t="s">
        <v>25</v>
      </c>
      <c r="B47" s="4" t="s">
        <v>53</v>
      </c>
      <c r="C47" s="4" t="s">
        <v>54</v>
      </c>
    </row>
    <row r="48" spans="1:5" x14ac:dyDescent="0.3">
      <c r="A48" s="5" t="s">
        <v>55</v>
      </c>
      <c r="B48" s="5"/>
      <c r="C48" s="5"/>
    </row>
    <row r="49" spans="1:9" x14ac:dyDescent="0.3">
      <c r="A49" s="5" t="s">
        <v>56</v>
      </c>
      <c r="B49" s="7"/>
      <c r="C49" s="7"/>
    </row>
    <row r="50" spans="1:9" x14ac:dyDescent="0.3">
      <c r="A50" s="5" t="s">
        <v>57</v>
      </c>
      <c r="B50" s="7"/>
      <c r="C50" s="7"/>
    </row>
    <row r="51" spans="1:9" x14ac:dyDescent="0.3">
      <c r="A51" s="5" t="s">
        <v>58</v>
      </c>
      <c r="B51" s="7"/>
      <c r="C51" s="7"/>
    </row>
    <row r="52" spans="1:9" x14ac:dyDescent="0.3">
      <c r="A52" s="5" t="s">
        <v>59</v>
      </c>
      <c r="B52" s="8" t="str">
        <f>IF(COUNT(B50:B51)=2,B50-B51,"")</f>
        <v/>
      </c>
      <c r="C52" s="8" t="str">
        <f>IF(COUNT(C50:C51)=2,C50-C51,"")</f>
        <v/>
      </c>
    </row>
    <row r="53" spans="1:9" x14ac:dyDescent="0.3">
      <c r="A53" s="5" t="s">
        <v>60</v>
      </c>
      <c r="B53" s="8" t="str">
        <f>IF(COUNT(B49,B51)=2,B51-B49,"")</f>
        <v/>
      </c>
      <c r="C53" s="8" t="str">
        <f>IF(COUNT(C49,C51)=2,C51-C49,"")</f>
        <v/>
      </c>
    </row>
    <row r="54" spans="1:9" x14ac:dyDescent="0.3">
      <c r="A54" s="5" t="s">
        <v>61</v>
      </c>
      <c r="B54" s="8" t="str">
        <f>IF(AND(ISNUMBER(B53),N(B53)&gt;0),IFERROR(B52/B53*100,0),"")</f>
        <v/>
      </c>
      <c r="C54" s="8" t="str">
        <f>IF(AND(ISNUMBER(C53),N(C53)&gt;0),IFERROR(C52/C53*100,0),"")</f>
        <v/>
      </c>
    </row>
    <row r="55" spans="1:9" x14ac:dyDescent="0.3">
      <c r="A55" s="1" t="s">
        <v>62</v>
      </c>
      <c r="B55" s="21">
        <f>IF(COUNT(B54:C54)&gt;0,AVERAGE(B54:C54),0)</f>
        <v>0</v>
      </c>
      <c r="C55" s="22"/>
    </row>
    <row r="56" spans="1:9" ht="6" customHeight="1" x14ac:dyDescent="0.3"/>
    <row r="57" spans="1:9" x14ac:dyDescent="0.3">
      <c r="A57" s="16" t="s">
        <v>63</v>
      </c>
      <c r="B57" s="17"/>
      <c r="C57" s="17"/>
      <c r="D57" s="17"/>
      <c r="E57" s="17"/>
      <c r="F57" s="17"/>
      <c r="G57" s="17"/>
      <c r="H57" s="17"/>
      <c r="I57" s="17"/>
    </row>
    <row r="87" spans="1:9" x14ac:dyDescent="0.3">
      <c r="A87" s="9"/>
      <c r="B87" s="9"/>
      <c r="C87" s="9"/>
      <c r="D87" s="9"/>
      <c r="E87" s="9"/>
      <c r="F87" s="9"/>
      <c r="G87" s="9"/>
      <c r="H87" s="9"/>
      <c r="I87" s="9"/>
    </row>
    <row r="88" spans="1:9" x14ac:dyDescent="0.3">
      <c r="A88" s="25" t="s">
        <v>64</v>
      </c>
      <c r="B88" s="15"/>
      <c r="C88" s="15"/>
      <c r="D88" s="25" t="s">
        <v>65</v>
      </c>
      <c r="E88" s="15"/>
      <c r="F88" s="15"/>
      <c r="G88" s="25" t="s">
        <v>66</v>
      </c>
      <c r="H88" s="15"/>
      <c r="I88" s="15"/>
    </row>
  </sheetData>
  <mergeCells count="35">
    <mergeCell ref="C3:G3"/>
    <mergeCell ref="B55:C55"/>
    <mergeCell ref="A43:B43"/>
    <mergeCell ref="A88:C88"/>
    <mergeCell ref="B27:D27"/>
    <mergeCell ref="A44:B44"/>
    <mergeCell ref="A40:B40"/>
    <mergeCell ref="C4:G4"/>
    <mergeCell ref="A57:I57"/>
    <mergeCell ref="A41:B41"/>
    <mergeCell ref="C1:G1"/>
    <mergeCell ref="G88:I88"/>
    <mergeCell ref="A29:C29"/>
    <mergeCell ref="B8:I8"/>
    <mergeCell ref="B38:C38"/>
    <mergeCell ref="C2:G2"/>
    <mergeCell ref="B10:I10"/>
    <mergeCell ref="A42:B42"/>
    <mergeCell ref="D88:F88"/>
    <mergeCell ref="G12:I12"/>
    <mergeCell ref="F13:G13"/>
    <mergeCell ref="A16:D16"/>
    <mergeCell ref="C42:E42"/>
    <mergeCell ref="A46:C46"/>
    <mergeCell ref="C40:E40"/>
    <mergeCell ref="C5:G5"/>
    <mergeCell ref="C43:E43"/>
    <mergeCell ref="B39:C39"/>
    <mergeCell ref="C13:D13"/>
    <mergeCell ref="B12:D12"/>
    <mergeCell ref="A8"/>
    <mergeCell ref="E12:F12"/>
    <mergeCell ref="C44:E44"/>
    <mergeCell ref="C41:E41"/>
    <mergeCell ref="C6:G6"/>
  </mergeCells>
  <pageMargins left="0.35" right="0.35" top="0.45" bottom="0.45" header="0.5" footer="0.5"/>
  <pageSetup paperSize="9" fitToHeight="0" orientation="portrait"/>
  <rowBreaks count="1" manualBreakCount="1">
    <brk id="56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9"/>
  <sheetViews>
    <sheetView workbookViewId="0"/>
  </sheetViews>
  <sheetFormatPr baseColWidth="10" defaultColWidth="8.88671875" defaultRowHeight="14.4" x14ac:dyDescent="0.3"/>
  <sheetData>
    <row r="1" spans="1:9" x14ac:dyDescent="0.3">
      <c r="F1">
        <f>IFERROR(SLOPE(B3:B5,C3:C5),0)</f>
        <v>0</v>
      </c>
    </row>
    <row r="2" spans="1:9" x14ac:dyDescent="0.3">
      <c r="F2">
        <f>IFERROR(INTERCEPT(B3:B5,C3:C5),0)</f>
        <v>0</v>
      </c>
    </row>
    <row r="3" spans="1:9" x14ac:dyDescent="0.3">
      <c r="A3" t="e">
        <f>IF(OR(Reporte!B19="",N(Reporte!B19)=0),NA(),Reporte!B19)</f>
        <v>#N/A</v>
      </c>
      <c r="B3" t="e">
        <f>IF(ISNA(A3),NA(),Reporte!B25)</f>
        <v>#N/A</v>
      </c>
      <c r="C3" t="e">
        <f>IF(ISNA(A3),NA(),LOG10(A3))</f>
        <v>#N/A</v>
      </c>
      <c r="D3">
        <v>10</v>
      </c>
      <c r="E3">
        <f t="shared" ref="E3:E9" si="0">$F$1*LOG10(D3)+$F$2</f>
        <v>0</v>
      </c>
      <c r="F3">
        <f>F1*LOG10(25)+F2</f>
        <v>0</v>
      </c>
      <c r="H3">
        <v>25</v>
      </c>
      <c r="I3">
        <f>F3</f>
        <v>0</v>
      </c>
    </row>
    <row r="4" spans="1:9" x14ac:dyDescent="0.3">
      <c r="A4" t="e">
        <f>IF(OR(Reporte!C19="",N(Reporte!C19)=0),NA(),Reporte!C19)</f>
        <v>#N/A</v>
      </c>
      <c r="B4" t="e">
        <f>IF(ISNA(A4),NA(),Reporte!C25)</f>
        <v>#N/A</v>
      </c>
      <c r="C4" t="e">
        <f>IF(ISNA(A4),NA(),LOG10(A4))</f>
        <v>#N/A</v>
      </c>
      <c r="D4">
        <v>12.5</v>
      </c>
      <c r="E4">
        <f t="shared" si="0"/>
        <v>0</v>
      </c>
      <c r="F4">
        <f>Reporte!B27</f>
        <v>0</v>
      </c>
    </row>
    <row r="5" spans="1:9" x14ac:dyDescent="0.3">
      <c r="A5" t="e">
        <f>IF(OR(Reporte!D19="",N(Reporte!D19)=0),NA(),Reporte!D19)</f>
        <v>#N/A</v>
      </c>
      <c r="B5" t="e">
        <f>IF(ISNA(A5),NA(),Reporte!D25)</f>
        <v>#N/A</v>
      </c>
      <c r="C5" t="e">
        <f>IF(ISNA(A5),NA(),LOG10(A5))</f>
        <v>#N/A</v>
      </c>
      <c r="D5">
        <v>15</v>
      </c>
      <c r="E5">
        <f t="shared" si="0"/>
        <v>0</v>
      </c>
      <c r="F5">
        <f>Reporte!B38</f>
        <v>0</v>
      </c>
      <c r="H5">
        <v>20</v>
      </c>
      <c r="I5">
        <v>0</v>
      </c>
    </row>
    <row r="6" spans="1:9" x14ac:dyDescent="0.3">
      <c r="D6">
        <v>20</v>
      </c>
      <c r="E6">
        <f t="shared" si="0"/>
        <v>0</v>
      </c>
      <c r="F6">
        <f>F4-F5</f>
        <v>0</v>
      </c>
      <c r="H6">
        <v>100</v>
      </c>
      <c r="I6">
        <v>58.4</v>
      </c>
    </row>
    <row r="7" spans="1:9" x14ac:dyDescent="0.3">
      <c r="D7">
        <v>25</v>
      </c>
      <c r="E7">
        <f t="shared" si="0"/>
        <v>0</v>
      </c>
    </row>
    <row r="8" spans="1:9" x14ac:dyDescent="0.3">
      <c r="D8">
        <v>35</v>
      </c>
      <c r="E8">
        <f t="shared" si="0"/>
        <v>0</v>
      </c>
    </row>
    <row r="9" spans="1:9" x14ac:dyDescent="0.3">
      <c r="D9">
        <v>50</v>
      </c>
      <c r="E9">
        <f t="shared" si="0"/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6"/>
  <sheetViews>
    <sheetView workbookViewId="0"/>
  </sheetViews>
  <sheetFormatPr baseColWidth="10" defaultColWidth="8.88671875" defaultRowHeight="14.4" x14ac:dyDescent="0.3"/>
  <sheetData>
    <row r="1" spans="1:19" x14ac:dyDescent="0.3">
      <c r="A1" t="s">
        <v>67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  <c r="R1" t="s">
        <v>84</v>
      </c>
      <c r="S1" t="s">
        <v>85</v>
      </c>
    </row>
    <row r="2" spans="1:19" x14ac:dyDescent="0.3">
      <c r="A2" t="s">
        <v>86</v>
      </c>
      <c r="B2" t="s">
        <v>87</v>
      </c>
      <c r="C2" t="s">
        <v>88</v>
      </c>
      <c r="D2" t="s">
        <v>89</v>
      </c>
      <c r="E2">
        <v>455</v>
      </c>
      <c r="F2">
        <v>425</v>
      </c>
      <c r="G2" t="s">
        <v>90</v>
      </c>
      <c r="H2">
        <v>10</v>
      </c>
      <c r="I2">
        <v>50</v>
      </c>
      <c r="L2" t="s">
        <v>91</v>
      </c>
      <c r="M2" t="s">
        <v>36</v>
      </c>
      <c r="N2" t="s">
        <v>92</v>
      </c>
      <c r="O2" t="s">
        <v>93</v>
      </c>
      <c r="P2" t="s">
        <v>94</v>
      </c>
      <c r="Q2" t="s">
        <v>95</v>
      </c>
      <c r="R2" t="s">
        <v>96</v>
      </c>
      <c r="S2">
        <v>1</v>
      </c>
    </row>
    <row r="3" spans="1:19" x14ac:dyDescent="0.3">
      <c r="A3" t="s">
        <v>86</v>
      </c>
      <c r="N3" t="s">
        <v>97</v>
      </c>
      <c r="O3" t="s">
        <v>98</v>
      </c>
      <c r="P3" t="s">
        <v>99</v>
      </c>
      <c r="Q3" t="s">
        <v>100</v>
      </c>
      <c r="R3" t="s">
        <v>101</v>
      </c>
      <c r="S3">
        <v>2</v>
      </c>
    </row>
    <row r="4" spans="1:19" x14ac:dyDescent="0.3">
      <c r="A4" t="s">
        <v>86</v>
      </c>
      <c r="N4" t="s">
        <v>102</v>
      </c>
      <c r="O4" t="s">
        <v>98</v>
      </c>
      <c r="P4" t="s">
        <v>103</v>
      </c>
      <c r="Q4" t="s">
        <v>104</v>
      </c>
      <c r="R4" t="s">
        <v>105</v>
      </c>
      <c r="S4">
        <v>3</v>
      </c>
    </row>
    <row r="5" spans="1:19" x14ac:dyDescent="0.3">
      <c r="A5" t="s">
        <v>106</v>
      </c>
      <c r="B5" t="s">
        <v>107</v>
      </c>
      <c r="C5" t="s">
        <v>88</v>
      </c>
      <c r="D5" t="s">
        <v>108</v>
      </c>
      <c r="E5">
        <v>315</v>
      </c>
      <c r="F5">
        <v>425</v>
      </c>
      <c r="G5" t="s">
        <v>109</v>
      </c>
      <c r="H5">
        <v>0</v>
      </c>
      <c r="I5">
        <v>100</v>
      </c>
      <c r="J5">
        <v>0</v>
      </c>
      <c r="K5">
        <v>60</v>
      </c>
      <c r="L5" t="s">
        <v>110</v>
      </c>
      <c r="M5" t="s">
        <v>111</v>
      </c>
      <c r="N5" t="s">
        <v>112</v>
      </c>
      <c r="O5" t="s">
        <v>93</v>
      </c>
      <c r="P5" t="s">
        <v>113</v>
      </c>
      <c r="Q5" t="s">
        <v>114</v>
      </c>
      <c r="R5" t="s">
        <v>115</v>
      </c>
      <c r="S5">
        <v>1</v>
      </c>
    </row>
    <row r="6" spans="1:19" x14ac:dyDescent="0.3">
      <c r="A6" t="s">
        <v>106</v>
      </c>
      <c r="N6" t="s">
        <v>116</v>
      </c>
      <c r="O6" t="s">
        <v>98</v>
      </c>
      <c r="P6" t="s">
        <v>117</v>
      </c>
      <c r="Q6" t="s">
        <v>118</v>
      </c>
      <c r="R6" t="s">
        <v>119</v>
      </c>
      <c r="S6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47"/>
  <sheetViews>
    <sheetView workbookViewId="0"/>
  </sheetViews>
  <sheetFormatPr baseColWidth="10" defaultColWidth="8.88671875" defaultRowHeight="14.4" x14ac:dyDescent="0.3"/>
  <sheetData>
    <row r="1" spans="1:4" x14ac:dyDescent="0.3">
      <c r="A1" t="s">
        <v>120</v>
      </c>
      <c r="B1" t="s">
        <v>121</v>
      </c>
      <c r="C1" t="s">
        <v>69</v>
      </c>
      <c r="D1" t="s">
        <v>122</v>
      </c>
    </row>
    <row r="2" spans="1:4" x14ac:dyDescent="0.3">
      <c r="A2" t="s">
        <v>123</v>
      </c>
      <c r="B2" t="s">
        <v>124</v>
      </c>
      <c r="C2" t="s">
        <v>125</v>
      </c>
    </row>
    <row r="3" spans="1:4" x14ac:dyDescent="0.3">
      <c r="A3" t="s">
        <v>126</v>
      </c>
      <c r="B3" t="s">
        <v>127</v>
      </c>
      <c r="C3" t="s">
        <v>125</v>
      </c>
    </row>
    <row r="4" spans="1:4" x14ac:dyDescent="0.3">
      <c r="A4" t="s">
        <v>128</v>
      </c>
      <c r="B4" t="s">
        <v>129</v>
      </c>
      <c r="C4" t="s">
        <v>125</v>
      </c>
    </row>
    <row r="5" spans="1:4" x14ac:dyDescent="0.3">
      <c r="A5" t="s">
        <v>130</v>
      </c>
      <c r="B5" t="s">
        <v>131</v>
      </c>
      <c r="C5" t="s">
        <v>125</v>
      </c>
    </row>
    <row r="6" spans="1:4" x14ac:dyDescent="0.3">
      <c r="A6" t="s">
        <v>132</v>
      </c>
      <c r="B6" t="s">
        <v>133</v>
      </c>
      <c r="C6" t="s">
        <v>125</v>
      </c>
    </row>
    <row r="7" spans="1:4" x14ac:dyDescent="0.3">
      <c r="A7" t="s">
        <v>134</v>
      </c>
      <c r="B7" t="s">
        <v>135</v>
      </c>
      <c r="C7" t="s">
        <v>125</v>
      </c>
    </row>
    <row r="8" spans="1:4" x14ac:dyDescent="0.3">
      <c r="A8" t="s">
        <v>136</v>
      </c>
      <c r="B8" t="s">
        <v>137</v>
      </c>
      <c r="C8" t="s">
        <v>125</v>
      </c>
    </row>
    <row r="9" spans="1:4" x14ac:dyDescent="0.3">
      <c r="A9" t="s">
        <v>138</v>
      </c>
      <c r="B9" t="s">
        <v>139</v>
      </c>
      <c r="C9" t="s">
        <v>140</v>
      </c>
      <c r="D9" t="s">
        <v>141</v>
      </c>
    </row>
    <row r="10" spans="1:4" x14ac:dyDescent="0.3">
      <c r="A10" t="s">
        <v>142</v>
      </c>
      <c r="B10" t="s">
        <v>143</v>
      </c>
      <c r="C10" t="s">
        <v>144</v>
      </c>
      <c r="D10" t="s">
        <v>145</v>
      </c>
    </row>
    <row r="11" spans="1:4" x14ac:dyDescent="0.3">
      <c r="A11" t="s">
        <v>146</v>
      </c>
      <c r="B11" t="s">
        <v>147</v>
      </c>
      <c r="C11" t="s">
        <v>144</v>
      </c>
      <c r="D11" t="s">
        <v>145</v>
      </c>
    </row>
    <row r="12" spans="1:4" x14ac:dyDescent="0.3">
      <c r="A12" t="s">
        <v>148</v>
      </c>
      <c r="B12" t="s">
        <v>149</v>
      </c>
      <c r="C12" t="s">
        <v>125</v>
      </c>
    </row>
    <row r="13" spans="1:4" x14ac:dyDescent="0.3">
      <c r="A13" t="s">
        <v>150</v>
      </c>
      <c r="B13" t="s">
        <v>151</v>
      </c>
      <c r="C13" t="s">
        <v>125</v>
      </c>
    </row>
    <row r="14" spans="1:4" x14ac:dyDescent="0.3">
      <c r="A14" t="s">
        <v>152</v>
      </c>
      <c r="B14" t="s">
        <v>153</v>
      </c>
      <c r="C14" t="s">
        <v>125</v>
      </c>
    </row>
    <row r="15" spans="1:4" x14ac:dyDescent="0.3">
      <c r="A15" t="s">
        <v>154</v>
      </c>
      <c r="B15" t="s">
        <v>155</v>
      </c>
      <c r="C15" t="s">
        <v>125</v>
      </c>
    </row>
    <row r="16" spans="1:4" x14ac:dyDescent="0.3">
      <c r="A16" t="s">
        <v>156</v>
      </c>
      <c r="B16" t="s">
        <v>157</v>
      </c>
      <c r="C16" t="s">
        <v>125</v>
      </c>
    </row>
    <row r="17" spans="1:4" x14ac:dyDescent="0.3">
      <c r="A17" t="s">
        <v>158</v>
      </c>
      <c r="B17" t="s">
        <v>159</v>
      </c>
      <c r="C17" t="s">
        <v>125</v>
      </c>
    </row>
    <row r="18" spans="1:4" x14ac:dyDescent="0.3">
      <c r="A18" t="s">
        <v>160</v>
      </c>
      <c r="B18" t="s">
        <v>161</v>
      </c>
      <c r="C18" t="s">
        <v>144</v>
      </c>
      <c r="D18" t="s">
        <v>162</v>
      </c>
    </row>
    <row r="19" spans="1:4" x14ac:dyDescent="0.3">
      <c r="A19" t="s">
        <v>163</v>
      </c>
      <c r="B19" t="s">
        <v>164</v>
      </c>
      <c r="C19" t="s">
        <v>144</v>
      </c>
      <c r="D19" t="s">
        <v>145</v>
      </c>
    </row>
    <row r="20" spans="1:4" x14ac:dyDescent="0.3">
      <c r="A20" t="s">
        <v>165</v>
      </c>
      <c r="B20" t="s">
        <v>166</v>
      </c>
      <c r="C20" t="s">
        <v>144</v>
      </c>
      <c r="D20" t="s">
        <v>145</v>
      </c>
    </row>
    <row r="21" spans="1:4" x14ac:dyDescent="0.3">
      <c r="A21" t="s">
        <v>167</v>
      </c>
      <c r="B21" t="s">
        <v>168</v>
      </c>
      <c r="C21" t="s">
        <v>144</v>
      </c>
      <c r="D21" t="s">
        <v>145</v>
      </c>
    </row>
    <row r="22" spans="1:4" x14ac:dyDescent="0.3">
      <c r="A22" t="s">
        <v>169</v>
      </c>
      <c r="B22" t="s">
        <v>170</v>
      </c>
      <c r="C22" t="s">
        <v>125</v>
      </c>
    </row>
    <row r="23" spans="1:4" x14ac:dyDescent="0.3">
      <c r="A23" t="s">
        <v>171</v>
      </c>
      <c r="B23" t="s">
        <v>172</v>
      </c>
      <c r="C23" t="s">
        <v>144</v>
      </c>
      <c r="D23" t="s">
        <v>162</v>
      </c>
    </row>
    <row r="24" spans="1:4" x14ac:dyDescent="0.3">
      <c r="A24" t="s">
        <v>173</v>
      </c>
      <c r="B24" t="s">
        <v>174</v>
      </c>
      <c r="C24" t="s">
        <v>144</v>
      </c>
      <c r="D24" t="s">
        <v>145</v>
      </c>
    </row>
    <row r="25" spans="1:4" x14ac:dyDescent="0.3">
      <c r="A25" t="s">
        <v>175</v>
      </c>
      <c r="B25" t="s">
        <v>176</v>
      </c>
      <c r="C25" t="s">
        <v>144</v>
      </c>
      <c r="D25" t="s">
        <v>145</v>
      </c>
    </row>
    <row r="26" spans="1:4" x14ac:dyDescent="0.3">
      <c r="A26" t="s">
        <v>177</v>
      </c>
      <c r="B26" t="s">
        <v>178</v>
      </c>
      <c r="C26" t="s">
        <v>144</v>
      </c>
      <c r="D26" t="s">
        <v>145</v>
      </c>
    </row>
    <row r="27" spans="1:4" x14ac:dyDescent="0.3">
      <c r="A27" t="s">
        <v>179</v>
      </c>
      <c r="B27" t="s">
        <v>180</v>
      </c>
      <c r="C27" t="s">
        <v>125</v>
      </c>
    </row>
    <row r="28" spans="1:4" x14ac:dyDescent="0.3">
      <c r="A28" t="s">
        <v>181</v>
      </c>
      <c r="B28" t="s">
        <v>182</v>
      </c>
      <c r="C28" t="s">
        <v>144</v>
      </c>
      <c r="D28" t="s">
        <v>162</v>
      </c>
    </row>
    <row r="29" spans="1:4" x14ac:dyDescent="0.3">
      <c r="A29" t="s">
        <v>183</v>
      </c>
      <c r="B29" t="s">
        <v>184</v>
      </c>
      <c r="C29" t="s">
        <v>144</v>
      </c>
      <c r="D29" t="s">
        <v>145</v>
      </c>
    </row>
    <row r="30" spans="1:4" x14ac:dyDescent="0.3">
      <c r="A30" t="s">
        <v>185</v>
      </c>
      <c r="B30" t="s">
        <v>186</v>
      </c>
      <c r="C30" t="s">
        <v>144</v>
      </c>
      <c r="D30" t="s">
        <v>145</v>
      </c>
    </row>
    <row r="31" spans="1:4" x14ac:dyDescent="0.3">
      <c r="A31" t="s">
        <v>187</v>
      </c>
      <c r="B31" t="s">
        <v>188</v>
      </c>
      <c r="C31" t="s">
        <v>144</v>
      </c>
      <c r="D31" t="s">
        <v>145</v>
      </c>
    </row>
    <row r="32" spans="1:4" x14ac:dyDescent="0.3">
      <c r="A32" t="s">
        <v>189</v>
      </c>
      <c r="B32" t="s">
        <v>190</v>
      </c>
      <c r="C32" t="s">
        <v>125</v>
      </c>
    </row>
    <row r="33" spans="1:4" x14ac:dyDescent="0.3">
      <c r="A33" t="s">
        <v>191</v>
      </c>
      <c r="B33" t="s">
        <v>192</v>
      </c>
      <c r="C33" t="s">
        <v>144</v>
      </c>
      <c r="D33" t="s">
        <v>145</v>
      </c>
    </row>
    <row r="34" spans="1:4" x14ac:dyDescent="0.3">
      <c r="A34" t="s">
        <v>193</v>
      </c>
      <c r="B34" t="s">
        <v>194</v>
      </c>
      <c r="C34" t="s">
        <v>144</v>
      </c>
      <c r="D34" t="s">
        <v>145</v>
      </c>
    </row>
    <row r="35" spans="1:4" x14ac:dyDescent="0.3">
      <c r="A35" t="s">
        <v>195</v>
      </c>
      <c r="B35" t="s">
        <v>196</v>
      </c>
      <c r="C35" t="s">
        <v>144</v>
      </c>
      <c r="D35" t="s">
        <v>145</v>
      </c>
    </row>
    <row r="36" spans="1:4" x14ac:dyDescent="0.3">
      <c r="A36" t="s">
        <v>197</v>
      </c>
      <c r="B36" t="s">
        <v>198</v>
      </c>
      <c r="C36" t="s">
        <v>125</v>
      </c>
    </row>
    <row r="37" spans="1:4" x14ac:dyDescent="0.3">
      <c r="A37" t="s">
        <v>199</v>
      </c>
      <c r="B37" t="s">
        <v>200</v>
      </c>
      <c r="C37" t="s">
        <v>144</v>
      </c>
      <c r="D37" t="s">
        <v>145</v>
      </c>
    </row>
    <row r="38" spans="1:4" x14ac:dyDescent="0.3">
      <c r="A38" t="s">
        <v>201</v>
      </c>
      <c r="B38" t="s">
        <v>202</v>
      </c>
      <c r="C38" t="s">
        <v>144</v>
      </c>
      <c r="D38" t="s">
        <v>145</v>
      </c>
    </row>
    <row r="39" spans="1:4" x14ac:dyDescent="0.3">
      <c r="A39" t="s">
        <v>203</v>
      </c>
      <c r="B39" t="s">
        <v>204</v>
      </c>
      <c r="C39" t="s">
        <v>144</v>
      </c>
      <c r="D39" t="s">
        <v>145</v>
      </c>
    </row>
    <row r="40" spans="1:4" x14ac:dyDescent="0.3">
      <c r="A40" t="s">
        <v>205</v>
      </c>
      <c r="B40" t="s">
        <v>206</v>
      </c>
      <c r="C40" t="s">
        <v>125</v>
      </c>
    </row>
    <row r="41" spans="1:4" x14ac:dyDescent="0.3">
      <c r="A41" t="s">
        <v>207</v>
      </c>
      <c r="B41" t="s">
        <v>208</v>
      </c>
      <c r="C41" t="s">
        <v>144</v>
      </c>
      <c r="D41" t="s">
        <v>145</v>
      </c>
    </row>
    <row r="42" spans="1:4" x14ac:dyDescent="0.3">
      <c r="A42" t="s">
        <v>209</v>
      </c>
      <c r="B42" t="s">
        <v>210</v>
      </c>
      <c r="C42" t="s">
        <v>144</v>
      </c>
      <c r="D42" t="s">
        <v>145</v>
      </c>
    </row>
    <row r="43" spans="1:4" x14ac:dyDescent="0.3">
      <c r="A43" t="s">
        <v>211</v>
      </c>
      <c r="B43" t="s">
        <v>212</v>
      </c>
      <c r="C43" t="s">
        <v>144</v>
      </c>
      <c r="D43" t="s">
        <v>145</v>
      </c>
    </row>
    <row r="44" spans="1:4" x14ac:dyDescent="0.3">
      <c r="A44" t="s">
        <v>213</v>
      </c>
      <c r="B44" t="s">
        <v>214</v>
      </c>
      <c r="C44" t="s">
        <v>125</v>
      </c>
    </row>
    <row r="45" spans="1:4" x14ac:dyDescent="0.3">
      <c r="A45" t="s">
        <v>215</v>
      </c>
      <c r="B45" t="s">
        <v>216</v>
      </c>
      <c r="C45" t="s">
        <v>144</v>
      </c>
      <c r="D45" t="s">
        <v>145</v>
      </c>
    </row>
    <row r="46" spans="1:4" x14ac:dyDescent="0.3">
      <c r="A46" t="s">
        <v>217</v>
      </c>
      <c r="B46" t="s">
        <v>218</v>
      </c>
      <c r="C46" t="s">
        <v>144</v>
      </c>
      <c r="D46" t="s">
        <v>145</v>
      </c>
    </row>
    <row r="47" spans="1:4" x14ac:dyDescent="0.3">
      <c r="A47" t="s">
        <v>219</v>
      </c>
      <c r="B47" t="s">
        <v>220</v>
      </c>
      <c r="C47" t="s">
        <v>144</v>
      </c>
      <c r="D47" t="s">
        <v>145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12</vt:i4>
      </vt:variant>
    </vt:vector>
  </HeadingPairs>
  <TitlesOfParts>
    <vt:vector size="16" baseType="lpstr">
      <vt:lpstr>Reporte</vt:lpstr>
      <vt:lpstr>_DATOS</vt:lpstr>
      <vt:lpstr>_GRAFICOS</vt:lpstr>
      <vt:lpstr>_MAPA</vt:lpstr>
      <vt:lpstr>Reporte!Área_de_impresión</vt:lpstr>
      <vt:lpstr>CartaIPY</vt:lpstr>
      <vt:lpstr>CartaLLX</vt:lpstr>
      <vt:lpstr>FluidezGolpesX</vt:lpstr>
      <vt:lpstr>FluidezHumedadY</vt:lpstr>
      <vt:lpstr>FluidezLogX</vt:lpstr>
      <vt:lpstr>LineaAX</vt:lpstr>
      <vt:lpstr>LineaAY</vt:lpstr>
      <vt:lpstr>PuntoLLX</vt:lpstr>
      <vt:lpstr>PuntoLLY</vt:lpstr>
      <vt:lpstr>RegresionX</vt:lpstr>
      <vt:lpstr>RegresionY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2026-09-08T14:07:24Z</dcterms:created>
  <dcterms:modified xsi:type="dcterms:W3CDTF">2026-09-15T16:10:13Z</dcterms:modified>
</cp:coreProperties>
</file>