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royecto\aa\geoportal\backend\templates\"/>
    </mc:Choice>
  </mc:AlternateContent>
  <xr:revisionPtr revIDLastSave="0" documentId="8_{DE6F16FD-FBCF-4D1F-A9BC-EE9FD526A835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Reporte" sheetId="1" r:id="rId1"/>
    <sheet name="_DATOS" sheetId="2" state="hidden" r:id="rId2"/>
    <sheet name="_GRAFICOS" sheetId="3" state="hidden" r:id="rId3"/>
    <sheet name="_MAPA" sheetId="4" state="hidden" r:id="rId4"/>
  </sheets>
  <functionGroups builtInGroupCount="19"/>
  <definedNames>
    <definedName name="AjusteX">_DATOS!$H$3:$H$22</definedName>
    <definedName name="AjusteY">_DATOS!$I$3:$I$22</definedName>
    <definedName name="_xlnm.Print_Area" localSheetId="0">Reporte!$A$1:$I$78</definedName>
    <definedName name="CurvaX">_DATOS!$A$3:$A$6</definedName>
    <definedName name="CurvaY">_DATOS!$B$3:$B$6</definedName>
    <definedName name="MDSX">_DATOS!$K$3</definedName>
    <definedName name="MDSY">_DATOS!$L$3</definedName>
  </definedNames>
  <calcPr calcId="191029"/>
</workbook>
</file>

<file path=xl/calcChain.xml><?xml version="1.0" encoding="utf-8"?>
<calcChain xmlns="http://schemas.openxmlformats.org/spreadsheetml/2006/main">
  <c r="H37" i="1" l="1"/>
  <c r="H38" i="1" s="1"/>
  <c r="F37" i="1"/>
  <c r="F38" i="1" s="1"/>
  <c r="D37" i="1"/>
  <c r="D38" i="1" s="1"/>
  <c r="B37" i="1"/>
  <c r="B38" i="1" s="1"/>
  <c r="H36" i="1"/>
  <c r="F36" i="1"/>
  <c r="D36" i="1"/>
  <c r="B36" i="1"/>
  <c r="F26" i="1"/>
  <c r="D26" i="1"/>
  <c r="B26" i="1"/>
  <c r="H25" i="1"/>
  <c r="H27" i="1" s="1"/>
  <c r="F25" i="1"/>
  <c r="F27" i="1" s="1"/>
  <c r="D25" i="1"/>
  <c r="D27" i="1" s="1"/>
  <c r="B25" i="1"/>
  <c r="B27" i="1" s="1"/>
  <c r="I17" i="1"/>
  <c r="H26" i="1" s="1"/>
  <c r="B39" i="1" l="1"/>
  <c r="A3" i="2"/>
  <c r="D39" i="1"/>
  <c r="A4" i="2"/>
  <c r="B4" i="2" s="1"/>
  <c r="F39" i="1"/>
  <c r="A5" i="2" s="1"/>
  <c r="B5" i="2" s="1"/>
  <c r="H39" i="1"/>
  <c r="A6" i="2" s="1"/>
  <c r="B6" i="2" s="1"/>
  <c r="F3" i="2" l="1"/>
  <c r="F1" i="2"/>
  <c r="B3" i="2"/>
  <c r="F2" i="2"/>
  <c r="F4" i="2" l="1"/>
  <c r="H9" i="2" s="1"/>
  <c r="I9" i="2" s="1"/>
  <c r="H12" i="2"/>
  <c r="I12" i="2" s="1"/>
  <c r="H11" i="2"/>
  <c r="I11" i="2" s="1"/>
  <c r="H22" i="2"/>
  <c r="I22" i="2" s="1"/>
  <c r="H16" i="2"/>
  <c r="I16" i="2" s="1"/>
  <c r="H10" i="2"/>
  <c r="I10" i="2" s="1"/>
  <c r="H5" i="2"/>
  <c r="I5" i="2" s="1"/>
  <c r="H3" i="2"/>
  <c r="I3" i="2" s="1"/>
  <c r="H19" i="2"/>
  <c r="I19" i="2" s="1"/>
  <c r="H7" i="2"/>
  <c r="I7" i="2" s="1"/>
  <c r="H21" i="2"/>
  <c r="I21" i="2" s="1"/>
  <c r="H20" i="2"/>
  <c r="I20" i="2" s="1"/>
  <c r="H14" i="2"/>
  <c r="I14" i="2" s="1"/>
  <c r="H8" i="2"/>
  <c r="I8" i="2" s="1"/>
  <c r="H4" i="2"/>
  <c r="I4" i="2" s="1"/>
  <c r="H18" i="2"/>
  <c r="I18" i="2" s="1"/>
  <c r="H6" i="2"/>
  <c r="I6" i="2" s="1"/>
  <c r="H17" i="2"/>
  <c r="I17" i="2" s="1"/>
  <c r="B42" i="1" l="1"/>
  <c r="F5" i="2"/>
  <c r="K3" i="2"/>
  <c r="H15" i="2"/>
  <c r="I15" i="2" s="1"/>
  <c r="H13" i="2"/>
  <c r="I13" i="2" s="1"/>
  <c r="L3" i="2" l="1"/>
  <c r="B41" i="1"/>
</calcChain>
</file>

<file path=xl/sharedStrings.xml><?xml version="1.0" encoding="utf-8"?>
<sst xmlns="http://schemas.openxmlformats.org/spreadsheetml/2006/main" count="292" uniqueCount="208">
  <si>
    <t>GOBIERNO REGIONAL CUSCO</t>
  </si>
  <si>
    <t>Gerencia Regional de Transportes y Comunicaciones Cusco</t>
  </si>
  <si>
    <t>SUB GERENCIA DE COBERTURA Y COMUNICACIONES</t>
  </si>
  <si>
    <t>UNIDAD FUNCIONAL ESTUDIOS Y PROYECTOS</t>
  </si>
  <si>
    <t>Laboratorio de Mecánica de Suelos, Materiales y Pavimentos</t>
  </si>
  <si>
    <t>«Año de la recuperación y consolidación de la economía peruana»</t>
  </si>
  <si>
    <t>CÓDIGO</t>
  </si>
  <si>
    <t>PROYECTO</t>
  </si>
  <si>
    <t>UBICACIÓN</t>
  </si>
  <si>
    <t>Lugar:</t>
  </si>
  <si>
    <t>Distrito:</t>
  </si>
  <si>
    <t>Provincia:</t>
  </si>
  <si>
    <t>Dpto:</t>
  </si>
  <si>
    <t>SOLICITANTE</t>
  </si>
  <si>
    <t>Fecha Muestreo:</t>
  </si>
  <si>
    <t>COORDENADAS</t>
  </si>
  <si>
    <t>E:</t>
  </si>
  <si>
    <t>N:</t>
  </si>
  <si>
    <t>Prof. (m):</t>
  </si>
  <si>
    <t>DATOS DE MUESTRA</t>
  </si>
  <si>
    <t>Explor.:</t>
  </si>
  <si>
    <t>Progresiva:</t>
  </si>
  <si>
    <t>Estrato:</t>
  </si>
  <si>
    <t>Lado:</t>
  </si>
  <si>
    <t>COMPACTACIÓN PROCTOR MODIFICADO - MTC E 115</t>
  </si>
  <si>
    <t>EQUIPO / MOLDE</t>
  </si>
  <si>
    <t>Código:</t>
  </si>
  <si>
    <t>Diám. (cm):</t>
  </si>
  <si>
    <t>Altura (cm):</t>
  </si>
  <si>
    <t>Vol. (cm³):</t>
  </si>
  <si>
    <t>COMPACTACIÓN</t>
  </si>
  <si>
    <t>Golpes/capa:</t>
  </si>
  <si>
    <t>N° capas:</t>
  </si>
  <si>
    <t>Martillo (lb):</t>
  </si>
  <si>
    <t>DATOS DE ENSAYO</t>
  </si>
  <si>
    <t>Parámetro</t>
  </si>
  <si>
    <t>M1</t>
  </si>
  <si>
    <t>M2</t>
  </si>
  <si>
    <t>M3</t>
  </si>
  <si>
    <t>M4</t>
  </si>
  <si>
    <t>Masa del molde (g)</t>
  </si>
  <si>
    <t>Masa molde + suelo húmedo (g)</t>
  </si>
  <si>
    <t>Agua incrementada (g)</t>
  </si>
  <si>
    <t>Masa del suelo húmedo (g)</t>
  </si>
  <si>
    <t>Volumen del molde (cm³)</t>
  </si>
  <si>
    <t>Densidad húmeda (g/cm³)</t>
  </si>
  <si>
    <t>CÁLCULO DE LA HUMEDAD</t>
  </si>
  <si>
    <t>Cápsula N°</t>
  </si>
  <si>
    <t>Masa de cápsula (g)</t>
  </si>
  <si>
    <t>Masa cápsula + suelo húmedo (g)</t>
  </si>
  <si>
    <t>Masa cápsula + suelo seco (g)</t>
  </si>
  <si>
    <t>Masa de agua (g)</t>
  </si>
  <si>
    <t>Masa de suelo seco (g)</t>
  </si>
  <si>
    <t>Contenido de humedad (%)</t>
  </si>
  <si>
    <t>Densidad seca (g/cm³)</t>
  </si>
  <si>
    <t>MÁXIMA DENSIDAD SECA (g/cm³)</t>
  </si>
  <si>
    <t>HUMEDAD ÓPTIMA (%)</t>
  </si>
  <si>
    <t>CURVA DE COMPACTACIÓN</t>
  </si>
  <si>
    <t>ESP. ENSAYOS GEOTECNICOS</t>
  </si>
  <si>
    <t>ESP. SUELOS Y PAVIMENTOS</t>
  </si>
  <si>
    <t>SUPERVISOR</t>
  </si>
  <si>
    <t>id</t>
  </si>
  <si>
    <t>titulo</t>
  </si>
  <si>
    <t>tipo</t>
  </si>
  <si>
    <t>ancla</t>
  </si>
  <si>
    <t>ancho_px</t>
  </si>
  <si>
    <t>alto_px</t>
  </si>
  <si>
    <t>x_log</t>
  </si>
  <si>
    <t>x_min</t>
  </si>
  <si>
    <t>x_max</t>
  </si>
  <si>
    <t>y_min</t>
  </si>
  <si>
    <t>y_max</t>
  </si>
  <si>
    <t>titulo_x</t>
  </si>
  <si>
    <t>titulo_y</t>
  </si>
  <si>
    <t>serie</t>
  </si>
  <si>
    <t>estilo</t>
  </si>
  <si>
    <t>rango_x</t>
  </si>
  <si>
    <t>rango_y</t>
  </si>
  <si>
    <t>color</t>
  </si>
  <si>
    <t>orden</t>
  </si>
  <si>
    <t>curva_compactacion</t>
  </si>
  <si>
    <t>Curva de Compactación Proctor Modificado</t>
  </si>
  <si>
    <t>xy</t>
  </si>
  <si>
    <t>A46</t>
  </si>
  <si>
    <t>NO</t>
  </si>
  <si>
    <t>Contenido de Humedad (%)</t>
  </si>
  <si>
    <t>Densidad Seca (g/cm³)</t>
  </si>
  <si>
    <t>Ajuste Cuadrático</t>
  </si>
  <si>
    <t>linea_suave</t>
  </si>
  <si>
    <t>'_DATOS'!$H$3:$H$22</t>
  </si>
  <si>
    <t>'_DATOS'!$I$3:$I$22</t>
  </si>
  <si>
    <t>DC2626</t>
  </si>
  <si>
    <t>Puntos de Ensayo</t>
  </si>
  <si>
    <t>marcador</t>
  </si>
  <si>
    <t>'_DATOS'!$A$3:$A$6</t>
  </si>
  <si>
    <t>'_DATOS'!$B$3:$B$6</t>
  </si>
  <si>
    <t>1E40AF</t>
  </si>
  <si>
    <t>Máxima Densidad Seca</t>
  </si>
  <si>
    <t>'_DATOS'!$K$3:$K$3</t>
  </si>
  <si>
    <t>'_DATOS'!$L$3:$L$3</t>
  </si>
  <si>
    <t>059669</t>
  </si>
  <si>
    <t>ruta</t>
  </si>
  <si>
    <t>celda</t>
  </si>
  <si>
    <t>formato</t>
  </si>
  <si>
    <t>meta.codigo_ensayo</t>
  </si>
  <si>
    <t>B8</t>
  </si>
  <si>
    <t>texto</t>
  </si>
  <si>
    <t>meta.proyecto_nombre</t>
  </si>
  <si>
    <t>B10</t>
  </si>
  <si>
    <t>meta.tramo_nombre</t>
  </si>
  <si>
    <t>C11</t>
  </si>
  <si>
    <t>meta.distrito</t>
  </si>
  <si>
    <t>E11</t>
  </si>
  <si>
    <t>meta.provincia</t>
  </si>
  <si>
    <t>G11</t>
  </si>
  <si>
    <t>meta.departamento</t>
  </si>
  <si>
    <t>I11</t>
  </si>
  <si>
    <t>meta.solicitante</t>
  </si>
  <si>
    <t>B12</t>
  </si>
  <si>
    <t>meta.fecha_muestreo</t>
  </si>
  <si>
    <t>G12</t>
  </si>
  <si>
    <t>fecha</t>
  </si>
  <si>
    <t>dddd d" de "mmmm" de "yyyy</t>
  </si>
  <si>
    <t>meta.coordenada_este</t>
  </si>
  <si>
    <t>C13</t>
  </si>
  <si>
    <t>numero</t>
  </si>
  <si>
    <t>0.00</t>
  </si>
  <si>
    <t>meta.coordenada_norte</t>
  </si>
  <si>
    <t>F13</t>
  </si>
  <si>
    <t>meta.profundidad</t>
  </si>
  <si>
    <t>I13</t>
  </si>
  <si>
    <t>meta.calicata</t>
  </si>
  <si>
    <t>C14</t>
  </si>
  <si>
    <t>meta.progresiva</t>
  </si>
  <si>
    <t>E14</t>
  </si>
  <si>
    <t>meta.estrato</t>
  </si>
  <si>
    <t>G14</t>
  </si>
  <si>
    <t>meta.lado</t>
  </si>
  <si>
    <t>I14</t>
  </si>
  <si>
    <t>datos.general_fields.codigo_molde</t>
  </si>
  <si>
    <t>C17</t>
  </si>
  <si>
    <t>datos.general_fields.diametro_cm</t>
  </si>
  <si>
    <t>E17</t>
  </si>
  <si>
    <t>datos.general_fields.altura_cm</t>
  </si>
  <si>
    <t>G17</t>
  </si>
  <si>
    <t>datos.general_fields.golpes_por_capa</t>
  </si>
  <si>
    <t>C18</t>
  </si>
  <si>
    <t>0</t>
  </si>
  <si>
    <t>datos.general_fields.numero_capas</t>
  </si>
  <si>
    <t>E18</t>
  </si>
  <si>
    <t>datos.general_fields.masa_martillo_lb</t>
  </si>
  <si>
    <t>G18</t>
  </si>
  <si>
    <t>datos.tables.datos_ensayo.m1.masa_molde</t>
  </si>
  <si>
    <t>B22</t>
  </si>
  <si>
    <t>datos.tables.datos_ensayo.m1.masa_suelo_humedo_molde</t>
  </si>
  <si>
    <t>B23</t>
  </si>
  <si>
    <t>datos.tables.datos_ensayo.m1.agua_incrementada</t>
  </si>
  <si>
    <t>B24</t>
  </si>
  <si>
    <t>datos.tables.datos_ensayo.m2.masa_molde</t>
  </si>
  <si>
    <t>D22</t>
  </si>
  <si>
    <t>datos.tables.datos_ensayo.m2.masa_suelo_humedo_molde</t>
  </si>
  <si>
    <t>D23</t>
  </si>
  <si>
    <t>datos.tables.datos_ensayo.m2.agua_incrementada</t>
  </si>
  <si>
    <t>D24</t>
  </si>
  <si>
    <t>datos.tables.datos_ensayo.m3.masa_molde</t>
  </si>
  <si>
    <t>F22</t>
  </si>
  <si>
    <t>datos.tables.datos_ensayo.m3.masa_suelo_humedo_molde</t>
  </si>
  <si>
    <t>F23</t>
  </si>
  <si>
    <t>datos.tables.datos_ensayo.m3.agua_incrementada</t>
  </si>
  <si>
    <t>F24</t>
  </si>
  <si>
    <t>datos.tables.datos_ensayo.m4.masa_molde</t>
  </si>
  <si>
    <t>H22</t>
  </si>
  <si>
    <t>datos.tables.datos_ensayo.m4.masa_suelo_humedo_molde</t>
  </si>
  <si>
    <t>H23</t>
  </si>
  <si>
    <t>datos.tables.datos_ensayo.m4.agua_incrementada</t>
  </si>
  <si>
    <t>H24</t>
  </si>
  <si>
    <t>datos.tables.calculo_humedad.m1.capsula_nro</t>
  </si>
  <si>
    <t>B32</t>
  </si>
  <si>
    <t>datos.tables.calculo_humedad.m1.masa_capsula</t>
  </si>
  <si>
    <t>B33</t>
  </si>
  <si>
    <t>datos.tables.calculo_humedad.m1.masa_capsula_suelo_humedo</t>
  </si>
  <si>
    <t>B34</t>
  </si>
  <si>
    <t>datos.tables.calculo_humedad.m1.masa_capsula_suelo_seco</t>
  </si>
  <si>
    <t>B35</t>
  </si>
  <si>
    <t>datos.tables.calculo_humedad.m2.capsula_nro</t>
  </si>
  <si>
    <t>D32</t>
  </si>
  <si>
    <t>datos.tables.calculo_humedad.m2.masa_capsula</t>
  </si>
  <si>
    <t>D33</t>
  </si>
  <si>
    <t>datos.tables.calculo_humedad.m2.masa_capsula_suelo_humedo</t>
  </si>
  <si>
    <t>D34</t>
  </si>
  <si>
    <t>datos.tables.calculo_humedad.m2.masa_capsula_suelo_seco</t>
  </si>
  <si>
    <t>D35</t>
  </si>
  <si>
    <t>datos.tables.calculo_humedad.m3.capsula_nro</t>
  </si>
  <si>
    <t>F32</t>
  </si>
  <si>
    <t>datos.tables.calculo_humedad.m3.masa_capsula</t>
  </si>
  <si>
    <t>F33</t>
  </si>
  <si>
    <t>datos.tables.calculo_humedad.m3.masa_capsula_suelo_humedo</t>
  </si>
  <si>
    <t>F34</t>
  </si>
  <si>
    <t>datos.tables.calculo_humedad.m3.masa_capsula_suelo_seco</t>
  </si>
  <si>
    <t>F35</t>
  </si>
  <si>
    <t>datos.tables.calculo_humedad.m4.capsula_nro</t>
  </si>
  <si>
    <t>H32</t>
  </si>
  <si>
    <t>datos.tables.calculo_humedad.m4.masa_capsula</t>
  </si>
  <si>
    <t>H33</t>
  </si>
  <si>
    <t>datos.tables.calculo_humedad.m4.masa_capsula_suelo_humedo</t>
  </si>
  <si>
    <t>H34</t>
  </si>
  <si>
    <t>datos.tables.calculo_humedad.m4.masa_capsula_suelo_seco</t>
  </si>
  <si>
    <t>H35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</si>
</sst>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&quot; g/cm³&quot;"/>
    <numFmt numFmtId="166" formatCode="0.00&quot; %&quot;"/>
  </numFmts>
  <fonts count="15" x14ac:knownFonts="1">
    <font>
      <sz val="11"/>
      <color theme="1"/>
      <name val="Calibri"/>
      <family val="2"/>
      <scheme val="minor"/>
    </font>
    <font>
      <b/>
      <sz val="14"/>
      <color rgb="FF111827"/>
      <name val="Calibri"/>
    </font>
    <font>
      <sz val="9"/>
      <color rgb="FF1F2937"/>
      <name val="Calibri"/>
    </font>
    <font>
      <sz val="8"/>
      <color rgb="FF1F2937"/>
      <name val="Calibri"/>
    </font>
    <font>
      <i/>
      <sz val="7.5"/>
      <color rgb="FF374151"/>
      <name val="Calibri"/>
    </font>
    <font>
      <b/>
      <sz val="10"/>
      <color rgb="FFFFFFFF"/>
      <name val="Calibri"/>
    </font>
    <font>
      <sz val="9"/>
      <color rgb="FF111827"/>
      <name val="Calibri"/>
    </font>
    <font>
      <b/>
      <sz val="11"/>
      <color rgb="FFFFFFFF"/>
      <name val="Calibri"/>
    </font>
    <font>
      <b/>
      <sz val="8"/>
      <color rgb="FF475569"/>
      <name val="Calibri"/>
    </font>
    <font>
      <b/>
      <sz val="10"/>
      <color rgb="FF111827"/>
      <name val="Calibri"/>
    </font>
    <font>
      <b/>
      <sz val="9"/>
      <name val="Calibri"/>
    </font>
    <font>
      <sz val="9"/>
      <color rgb="FF1D4ED8"/>
      <name val="Calibri"/>
    </font>
    <font>
      <b/>
      <sz val="9"/>
      <color rgb="FFFFFFFF"/>
      <name val="Calibri"/>
    </font>
    <font>
      <b/>
      <sz val="11"/>
      <color rgb="FF111827"/>
      <name val="Calibri"/>
    </font>
    <font>
      <b/>
      <sz val="8"/>
      <color rgb="FF334155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8FAFC"/>
      </patternFill>
    </fill>
    <fill>
      <patternFill patternType="solid">
        <fgColor rgb="FFF1F5F9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EEF2F7"/>
      </patternFill>
    </fill>
  </fills>
  <borders count="3">
    <border>
      <left/>
      <right/>
      <top/>
      <bottom/>
      <diagonal/>
    </border>
    <border>
      <left style="thin">
        <color rgb="FF0F172A"/>
      </left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8" fillId="3" borderId="1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1" fillId="7" borderId="0" xfId="0" applyFont="1" applyFill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2" xfId="0" applyBorder="1"/>
    <xf numFmtId="2" fontId="6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2" fontId="11" fillId="7" borderId="1" xfId="0" applyNumberFormat="1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/>
    <xf numFmtId="0" fontId="12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164" fontId="11" fillId="7" borderId="1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165" fontId="13" fillId="4" borderId="1" xfId="0" applyNumberFormat="1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6" fontId="13" fillId="4" borderId="1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ES"/>
              <a:t>Curva de Compactación — Densidad Seca (g/cm³) vs Humedad (%)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Ajuste Cuadrático</c:v>
          </c:tx>
          <c:spPr>
            <a:ln w="24000">
              <a:solidFill>
                <a:srgbClr val="DC2626"/>
              </a:solidFill>
              <a:prstDash val="solid"/>
            </a:ln>
          </c:spPr>
          <c:marker>
            <c:symbol val="none"/>
          </c:marker>
          <c:xVal>
            <c:numRef>
              <c:f>_DATOS!$H$3:$H$22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_DATOS!$I$3:$I$22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16-4DC4-A1E6-85FE87D1AD8A}"/>
            </c:ext>
          </c:extLst>
        </c:ser>
        <c:ser>
          <c:idx val="1"/>
          <c:order val="1"/>
          <c:tx>
            <c:v>Puntos de Ensayo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1E40AF"/>
              </a:solidFill>
              <a:ln>
                <a:solidFill>
                  <a:srgbClr val="1E40AF"/>
                </a:solidFill>
                <a:prstDash val="solid"/>
              </a:ln>
            </c:spPr>
          </c:marker>
          <c:xVal>
            <c:numRef>
              <c:f>_DATOS!$A$3:$A$6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_DATOS!$B$3:$B$6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16-4DC4-A1E6-85FE87D1AD8A}"/>
            </c:ext>
          </c:extLst>
        </c:ser>
        <c:ser>
          <c:idx val="2"/>
          <c:order val="2"/>
          <c:tx>
            <c:v>Máxima Densidad Seca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59669"/>
              </a:solidFill>
              <a:ln>
                <a:solidFill>
                  <a:srgbClr val="059669"/>
                </a:solidFill>
                <a:prstDash val="solid"/>
              </a:ln>
            </c:spPr>
          </c:marker>
          <c:xVal>
            <c:numRef>
              <c:f>_DATOS!$K$3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_DATOS!$L$3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16-4DC4-A1E6-85FE87D1A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45</xdr:row>
      <xdr:rowOff>0</xdr:rowOff>
    </xdr:from>
    <xdr:ext cx="5903999" cy="4536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0</xdr:row>
      <xdr:rowOff>0</xdr:rowOff>
    </xdr:from>
    <xdr:ext cx="1238250" cy="49530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0</xdr:colOff>
      <xdr:row>0</xdr:row>
      <xdr:rowOff>0</xdr:rowOff>
    </xdr:from>
    <xdr:ext cx="1047750" cy="4953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77"/>
  <sheetViews>
    <sheetView showGridLines="0" tabSelected="1" workbookViewId="0"/>
  </sheetViews>
  <sheetFormatPr baseColWidth="10" defaultColWidth="8.88671875" defaultRowHeight="14.4" x14ac:dyDescent="0.3"/>
  <cols>
    <col min="1" max="1" width="34" customWidth="1"/>
    <col min="2" max="9" width="11" customWidth="1"/>
  </cols>
  <sheetData>
    <row r="1" spans="1:9" ht="19.95" customHeight="1" x14ac:dyDescent="0.3">
      <c r="C1" s="32" t="s">
        <v>0</v>
      </c>
      <c r="D1" s="13"/>
      <c r="E1" s="13"/>
      <c r="F1" s="13"/>
      <c r="G1" s="13"/>
    </row>
    <row r="2" spans="1:9" ht="15" customHeight="1" x14ac:dyDescent="0.3">
      <c r="C2" s="12" t="s">
        <v>1</v>
      </c>
      <c r="D2" s="13"/>
      <c r="E2" s="13"/>
      <c r="F2" s="13"/>
      <c r="G2" s="13"/>
    </row>
    <row r="3" spans="1:9" ht="12" customHeight="1" x14ac:dyDescent="0.3">
      <c r="C3" s="17" t="s">
        <v>2</v>
      </c>
      <c r="D3" s="13"/>
      <c r="E3" s="13"/>
      <c r="F3" s="13"/>
      <c r="G3" s="13"/>
    </row>
    <row r="4" spans="1:9" ht="12" customHeight="1" x14ac:dyDescent="0.3">
      <c r="C4" s="17" t="s">
        <v>3</v>
      </c>
      <c r="D4" s="13"/>
      <c r="E4" s="13"/>
      <c r="F4" s="13"/>
      <c r="G4" s="13"/>
    </row>
    <row r="5" spans="1:9" ht="13.95" customHeight="1" x14ac:dyDescent="0.3">
      <c r="C5" s="12" t="s">
        <v>4</v>
      </c>
      <c r="D5" s="13"/>
      <c r="E5" s="13"/>
      <c r="F5" s="13"/>
      <c r="G5" s="13"/>
    </row>
    <row r="6" spans="1:9" ht="12" customHeight="1" x14ac:dyDescent="0.3">
      <c r="C6" s="31" t="s">
        <v>5</v>
      </c>
      <c r="D6" s="13"/>
      <c r="E6" s="13"/>
      <c r="F6" s="13"/>
      <c r="G6" s="13"/>
    </row>
    <row r="7" spans="1:9" ht="4.05" customHeight="1" x14ac:dyDescent="0.3"/>
    <row r="8" spans="1:9" ht="19.95" customHeight="1" x14ac:dyDescent="0.3">
      <c r="A8" s="30" t="s">
        <v>6</v>
      </c>
      <c r="B8" s="18"/>
      <c r="C8" s="15"/>
      <c r="D8" s="15"/>
      <c r="E8" s="15"/>
      <c r="F8" s="15"/>
      <c r="G8" s="15"/>
      <c r="H8" s="15"/>
      <c r="I8" s="15"/>
    </row>
    <row r="9" spans="1:9" ht="6" customHeight="1" x14ac:dyDescent="0.3"/>
    <row r="10" spans="1:9" ht="19.95" customHeight="1" x14ac:dyDescent="0.3">
      <c r="A10" s="1" t="s">
        <v>7</v>
      </c>
      <c r="B10" s="19"/>
      <c r="C10" s="19"/>
      <c r="D10" s="19"/>
      <c r="E10" s="19"/>
      <c r="F10" s="19"/>
      <c r="G10" s="19"/>
      <c r="H10" s="19"/>
      <c r="I10" s="19"/>
    </row>
    <row r="11" spans="1:9" ht="19.95" customHeight="1" x14ac:dyDescent="0.3">
      <c r="A11" s="1" t="s">
        <v>8</v>
      </c>
      <c r="B11" s="1" t="s">
        <v>9</v>
      </c>
      <c r="C11" s="2"/>
      <c r="D11" s="1" t="s">
        <v>10</v>
      </c>
      <c r="E11" s="2"/>
      <c r="F11" s="1" t="s">
        <v>11</v>
      </c>
      <c r="G11" s="2"/>
      <c r="H11" s="1" t="s">
        <v>12</v>
      </c>
      <c r="I11" s="2"/>
    </row>
    <row r="12" spans="1:9" ht="19.95" customHeight="1" x14ac:dyDescent="0.3">
      <c r="A12" s="1" t="s">
        <v>13</v>
      </c>
      <c r="B12" s="28"/>
      <c r="C12" s="29"/>
      <c r="D12" s="29"/>
      <c r="E12" s="24" t="s">
        <v>14</v>
      </c>
      <c r="F12" s="25"/>
      <c r="G12" s="27"/>
      <c r="H12" s="13"/>
      <c r="I12" s="13"/>
    </row>
    <row r="13" spans="1:9" ht="19.95" customHeight="1" x14ac:dyDescent="0.3">
      <c r="A13" s="1" t="s">
        <v>15</v>
      </c>
      <c r="B13" s="1" t="s">
        <v>16</v>
      </c>
      <c r="C13" s="21"/>
      <c r="D13" s="13"/>
      <c r="E13" s="1" t="s">
        <v>17</v>
      </c>
      <c r="F13" s="21"/>
      <c r="G13" s="13"/>
      <c r="H13" s="1" t="s">
        <v>18</v>
      </c>
      <c r="I13" s="2"/>
    </row>
    <row r="14" spans="1:9" ht="19.95" customHeight="1" x14ac:dyDescent="0.3">
      <c r="A14" s="1" t="s">
        <v>19</v>
      </c>
      <c r="B14" s="1" t="s">
        <v>20</v>
      </c>
      <c r="C14" s="3"/>
      <c r="D14" s="1" t="s">
        <v>21</v>
      </c>
      <c r="E14" s="3"/>
      <c r="F14" s="1" t="s">
        <v>22</v>
      </c>
      <c r="G14" s="3"/>
      <c r="H14" s="1" t="s">
        <v>23</v>
      </c>
      <c r="I14" s="3"/>
    </row>
    <row r="15" spans="1:9" ht="6" customHeight="1" x14ac:dyDescent="0.3"/>
    <row r="16" spans="1:9" x14ac:dyDescent="0.3">
      <c r="A16" s="22" t="s">
        <v>24</v>
      </c>
      <c r="B16" s="23"/>
      <c r="C16" s="23"/>
      <c r="D16" s="23"/>
      <c r="E16" s="23"/>
      <c r="F16" s="23"/>
      <c r="G16" s="23"/>
      <c r="H16" s="23"/>
      <c r="I16" s="23"/>
    </row>
    <row r="17" spans="1:9" x14ac:dyDescent="0.3">
      <c r="A17" s="1" t="s">
        <v>25</v>
      </c>
      <c r="B17" s="1" t="s">
        <v>26</v>
      </c>
      <c r="C17" s="3"/>
      <c r="D17" s="1" t="s">
        <v>27</v>
      </c>
      <c r="E17" s="3"/>
      <c r="F17" s="1" t="s">
        <v>28</v>
      </c>
      <c r="G17" s="3"/>
      <c r="H17" s="1" t="s">
        <v>29</v>
      </c>
      <c r="I17" s="4" t="str">
        <f>IF(AND(N(E17)&gt;0,N(G17)&gt;0),ROUND(PI()*POWER(E17,2)*G17/4,1),"")</f>
        <v/>
      </c>
    </row>
    <row r="18" spans="1:9" x14ac:dyDescent="0.3">
      <c r="A18" s="1" t="s">
        <v>30</v>
      </c>
      <c r="B18" s="1" t="s">
        <v>31</v>
      </c>
      <c r="C18" s="3"/>
      <c r="D18" s="1" t="s">
        <v>32</v>
      </c>
      <c r="E18" s="3"/>
      <c r="F18" s="1" t="s">
        <v>33</v>
      </c>
      <c r="G18" s="3"/>
    </row>
    <row r="19" spans="1:9" ht="6" customHeight="1" x14ac:dyDescent="0.3"/>
    <row r="20" spans="1:9" x14ac:dyDescent="0.3">
      <c r="A20" s="22" t="s">
        <v>34</v>
      </c>
      <c r="B20" s="23"/>
      <c r="C20" s="23"/>
      <c r="D20" s="23"/>
      <c r="E20" s="23"/>
      <c r="F20" s="23"/>
      <c r="G20" s="23"/>
      <c r="H20" s="23"/>
      <c r="I20" s="23"/>
    </row>
    <row r="21" spans="1:9" ht="16.05" customHeight="1" x14ac:dyDescent="0.3">
      <c r="A21" s="5" t="s">
        <v>35</v>
      </c>
      <c r="B21" s="14" t="s">
        <v>36</v>
      </c>
      <c r="C21" s="15"/>
      <c r="D21" s="14" t="s">
        <v>37</v>
      </c>
      <c r="E21" s="15"/>
      <c r="F21" s="14" t="s">
        <v>38</v>
      </c>
      <c r="G21" s="15"/>
      <c r="H21" s="14" t="s">
        <v>39</v>
      </c>
      <c r="I21" s="15"/>
    </row>
    <row r="22" spans="1:9" x14ac:dyDescent="0.3">
      <c r="A22" s="6" t="s">
        <v>40</v>
      </c>
      <c r="B22" s="8"/>
      <c r="C22" s="9"/>
      <c r="D22" s="8"/>
      <c r="E22" s="9"/>
      <c r="F22" s="8"/>
      <c r="G22" s="9"/>
      <c r="H22" s="8"/>
      <c r="I22" s="9"/>
    </row>
    <row r="23" spans="1:9" x14ac:dyDescent="0.3">
      <c r="A23" s="6" t="s">
        <v>41</v>
      </c>
      <c r="B23" s="8"/>
      <c r="C23" s="9"/>
      <c r="D23" s="8"/>
      <c r="E23" s="9"/>
      <c r="F23" s="8"/>
      <c r="G23" s="9"/>
      <c r="H23" s="8"/>
      <c r="I23" s="9"/>
    </row>
    <row r="24" spans="1:9" x14ac:dyDescent="0.3">
      <c r="A24" s="6" t="s">
        <v>42</v>
      </c>
      <c r="B24" s="8"/>
      <c r="C24" s="9"/>
      <c r="D24" s="8"/>
      <c r="E24" s="9"/>
      <c r="F24" s="8"/>
      <c r="G24" s="9"/>
      <c r="H24" s="8"/>
      <c r="I24" s="9"/>
    </row>
    <row r="25" spans="1:9" x14ac:dyDescent="0.3">
      <c r="A25" s="6" t="s">
        <v>43</v>
      </c>
      <c r="B25" s="10" t="str">
        <f>IF(COUNT(B22:B23)=2,B23-B22,"")</f>
        <v/>
      </c>
      <c r="C25" s="11"/>
      <c r="D25" s="10" t="str">
        <f>IF(COUNT(D22:D23)=2,D23-D22,"")</f>
        <v/>
      </c>
      <c r="E25" s="11"/>
      <c r="F25" s="10" t="str">
        <f>IF(COUNT(F22:F23)=2,F23-F22,"")</f>
        <v/>
      </c>
      <c r="G25" s="11"/>
      <c r="H25" s="10" t="str">
        <f>IF(COUNT(H22:H23)=2,H23-H22,"")</f>
        <v/>
      </c>
      <c r="I25" s="11"/>
    </row>
    <row r="26" spans="1:9" x14ac:dyDescent="0.3">
      <c r="A26" s="6" t="s">
        <v>44</v>
      </c>
      <c r="B26" s="10">
        <f>IF(N($I$17)&gt;0,$I$17,2124)</f>
        <v>2124</v>
      </c>
      <c r="C26" s="11"/>
      <c r="D26" s="10">
        <f>IF(N($I$17)&gt;0,$I$17,2124)</f>
        <v>2124</v>
      </c>
      <c r="E26" s="11"/>
      <c r="F26" s="10">
        <f>IF(N($I$17)&gt;0,$I$17,2124)</f>
        <v>2124</v>
      </c>
      <c r="G26" s="11"/>
      <c r="H26" s="10">
        <f>IF(N($I$17)&gt;0,$I$17,2124)</f>
        <v>2124</v>
      </c>
      <c r="I26" s="11"/>
    </row>
    <row r="27" spans="1:9" x14ac:dyDescent="0.3">
      <c r="A27" s="6" t="s">
        <v>45</v>
      </c>
      <c r="B27" s="16" t="str">
        <f>IF(AND(ISNUMBER(B25),N(B26)&gt;0),IFERROR(B25/B26,0),"")</f>
        <v/>
      </c>
      <c r="C27" s="11"/>
      <c r="D27" s="16" t="str">
        <f>IF(AND(ISNUMBER(D25),N(D26)&gt;0),IFERROR(D25/D26,0),"")</f>
        <v/>
      </c>
      <c r="E27" s="11"/>
      <c r="F27" s="16" t="str">
        <f>IF(AND(ISNUMBER(F25),N(F26)&gt;0),IFERROR(F25/F26,0),"")</f>
        <v/>
      </c>
      <c r="G27" s="11"/>
      <c r="H27" s="16" t="str">
        <f>IF(AND(ISNUMBER(H25),N(H26)&gt;0),IFERROR(H25/H26,0),"")</f>
        <v/>
      </c>
      <c r="I27" s="11"/>
    </row>
    <row r="28" spans="1:9" ht="6" customHeight="1" x14ac:dyDescent="0.3"/>
    <row r="30" spans="1:9" x14ac:dyDescent="0.3">
      <c r="A30" s="22" t="s">
        <v>46</v>
      </c>
      <c r="B30" s="23"/>
      <c r="C30" s="23"/>
      <c r="D30" s="23"/>
      <c r="E30" s="23"/>
      <c r="F30" s="23"/>
      <c r="G30" s="23"/>
      <c r="H30" s="23"/>
      <c r="I30" s="23"/>
    </row>
    <row r="31" spans="1:9" ht="16.05" customHeight="1" x14ac:dyDescent="0.3">
      <c r="A31" s="5" t="s">
        <v>35</v>
      </c>
      <c r="B31" s="14" t="s">
        <v>36</v>
      </c>
      <c r="C31" s="15"/>
      <c r="D31" s="14" t="s">
        <v>37</v>
      </c>
      <c r="E31" s="15"/>
      <c r="F31" s="14" t="s">
        <v>38</v>
      </c>
      <c r="G31" s="15"/>
      <c r="H31" s="14" t="s">
        <v>39</v>
      </c>
      <c r="I31" s="15"/>
    </row>
    <row r="32" spans="1:9" x14ac:dyDescent="0.3">
      <c r="A32" s="6" t="s">
        <v>47</v>
      </c>
      <c r="B32" s="9"/>
      <c r="C32" s="9"/>
      <c r="D32" s="9"/>
      <c r="E32" s="9"/>
      <c r="F32" s="9"/>
      <c r="G32" s="9"/>
      <c r="H32" s="9"/>
      <c r="I32" s="9"/>
    </row>
    <row r="33" spans="1:9" x14ac:dyDescent="0.3">
      <c r="A33" s="6" t="s">
        <v>48</v>
      </c>
      <c r="B33" s="8"/>
      <c r="C33" s="9"/>
      <c r="D33" s="8"/>
      <c r="E33" s="9"/>
      <c r="F33" s="8"/>
      <c r="G33" s="9"/>
      <c r="H33" s="8"/>
      <c r="I33" s="9"/>
    </row>
    <row r="34" spans="1:9" x14ac:dyDescent="0.3">
      <c r="A34" s="6" t="s">
        <v>49</v>
      </c>
      <c r="B34" s="8"/>
      <c r="C34" s="9"/>
      <c r="D34" s="8"/>
      <c r="E34" s="9"/>
      <c r="F34" s="8"/>
      <c r="G34" s="9"/>
      <c r="H34" s="8"/>
      <c r="I34" s="9"/>
    </row>
    <row r="35" spans="1:9" x14ac:dyDescent="0.3">
      <c r="A35" s="6" t="s">
        <v>50</v>
      </c>
      <c r="B35" s="8"/>
      <c r="C35" s="9"/>
      <c r="D35" s="8"/>
      <c r="E35" s="9"/>
      <c r="F35" s="8"/>
      <c r="G35" s="9"/>
      <c r="H35" s="8"/>
      <c r="I35" s="9"/>
    </row>
    <row r="36" spans="1:9" x14ac:dyDescent="0.3">
      <c r="A36" s="6" t="s">
        <v>51</v>
      </c>
      <c r="B36" s="10" t="str">
        <f>IF(COUNT(B34:B35)=2,B34-B35,"")</f>
        <v/>
      </c>
      <c r="C36" s="11"/>
      <c r="D36" s="10" t="str">
        <f>IF(COUNT(D34:D35)=2,D34-D35,"")</f>
        <v/>
      </c>
      <c r="E36" s="11"/>
      <c r="F36" s="10" t="str">
        <f>IF(COUNT(F34:F35)=2,F34-F35,"")</f>
        <v/>
      </c>
      <c r="G36" s="11"/>
      <c r="H36" s="10" t="str">
        <f>IF(COUNT(H34:H35)=2,H34-H35,"")</f>
        <v/>
      </c>
      <c r="I36" s="11"/>
    </row>
    <row r="37" spans="1:9" x14ac:dyDescent="0.3">
      <c r="A37" s="6" t="s">
        <v>52</v>
      </c>
      <c r="B37" s="10" t="str">
        <f>IF(COUNT(B33,B35)=2,B35-B33,"")</f>
        <v/>
      </c>
      <c r="C37" s="11"/>
      <c r="D37" s="10" t="str">
        <f>IF(COUNT(D33,D35)=2,D35-D33,"")</f>
        <v/>
      </c>
      <c r="E37" s="11"/>
      <c r="F37" s="10" t="str">
        <f>IF(COUNT(F33,F35)=2,F35-F33,"")</f>
        <v/>
      </c>
      <c r="G37" s="11"/>
      <c r="H37" s="10" t="str">
        <f>IF(COUNT(H33,H35)=2,H35-H33,"")</f>
        <v/>
      </c>
      <c r="I37" s="11"/>
    </row>
    <row r="38" spans="1:9" x14ac:dyDescent="0.3">
      <c r="A38" s="6" t="s">
        <v>53</v>
      </c>
      <c r="B38" s="10" t="str">
        <f>IF(AND(ISNUMBER(B37),N(B37)&gt;0),IFERROR(B36/B37*100,0),"")</f>
        <v/>
      </c>
      <c r="C38" s="11"/>
      <c r="D38" s="10" t="str">
        <f>IF(AND(ISNUMBER(D37),N(D37)&gt;0),IFERROR(D36/D37*100,0),"")</f>
        <v/>
      </c>
      <c r="E38" s="11"/>
      <c r="F38" s="10" t="str">
        <f>IF(AND(ISNUMBER(F37),N(F37)&gt;0),IFERROR(F36/F37*100,0),"")</f>
        <v/>
      </c>
      <c r="G38" s="11"/>
      <c r="H38" s="10" t="str">
        <f>IF(AND(ISNUMBER(H37),N(H37)&gt;0),IFERROR(H36/H37*100,0),"")</f>
        <v/>
      </c>
      <c r="I38" s="11"/>
    </row>
    <row r="39" spans="1:9" x14ac:dyDescent="0.3">
      <c r="A39" s="6" t="s">
        <v>54</v>
      </c>
      <c r="B39" s="16" t="str">
        <f>IF(AND(ISNUMBER(B38),ISNUMBER(B27)),IFERROR(B27/(1+B38/100),0),"")</f>
        <v/>
      </c>
      <c r="C39" s="11"/>
      <c r="D39" s="16" t="str">
        <f>IF(AND(ISNUMBER(D38),ISNUMBER(D27)),IFERROR(D27/(1+D38/100),0),"")</f>
        <v/>
      </c>
      <c r="E39" s="11"/>
      <c r="F39" s="16" t="str">
        <f>IF(AND(ISNUMBER(F38),ISNUMBER(F27)),IFERROR(F27/(1+F38/100),0),"")</f>
        <v/>
      </c>
      <c r="G39" s="11"/>
      <c r="H39" s="16" t="str">
        <f>IF(AND(ISNUMBER(H38),ISNUMBER(H27)),IFERROR(H27/(1+H38/100),0),"")</f>
        <v/>
      </c>
      <c r="I39" s="11"/>
    </row>
    <row r="41" spans="1:9" x14ac:dyDescent="0.3">
      <c r="A41" s="1" t="s">
        <v>55</v>
      </c>
      <c r="B41" s="26" t="str">
        <f>IF(ISNUMBER(_DATOS!$F$5),_DATOS!$F$5,"")</f>
        <v/>
      </c>
      <c r="C41" s="19"/>
      <c r="D41" s="19"/>
      <c r="E41" s="19"/>
      <c r="F41" s="19"/>
      <c r="G41" s="19"/>
      <c r="H41" s="19"/>
      <c r="I41" s="19"/>
    </row>
    <row r="42" spans="1:9" x14ac:dyDescent="0.3">
      <c r="A42" s="1" t="s">
        <v>56</v>
      </c>
      <c r="B42" s="33" t="str">
        <f>IF(ISNUMBER(_DATOS!$F$4),_DATOS!$F$4,"")</f>
        <v/>
      </c>
      <c r="C42" s="19"/>
      <c r="D42" s="19"/>
      <c r="E42" s="19"/>
      <c r="F42" s="19"/>
      <c r="G42" s="19"/>
      <c r="H42" s="19"/>
      <c r="I42" s="19"/>
    </row>
    <row r="43" spans="1:9" ht="6" customHeight="1" x14ac:dyDescent="0.3"/>
    <row r="45" spans="1:9" x14ac:dyDescent="0.3">
      <c r="A45" s="22" t="s">
        <v>57</v>
      </c>
      <c r="B45" s="23"/>
      <c r="C45" s="23"/>
      <c r="D45" s="23"/>
      <c r="E45" s="23"/>
      <c r="F45" s="23"/>
      <c r="G45" s="23"/>
      <c r="H45" s="23"/>
      <c r="I45" s="23"/>
    </row>
    <row r="76" spans="1:9" x14ac:dyDescent="0.3">
      <c r="A76" s="7"/>
      <c r="B76" s="7"/>
      <c r="C76" s="7"/>
      <c r="D76" s="7"/>
      <c r="E76" s="7"/>
      <c r="F76" s="7"/>
      <c r="G76" s="7"/>
      <c r="H76" s="7"/>
      <c r="I76" s="7"/>
    </row>
    <row r="77" spans="1:9" x14ac:dyDescent="0.3">
      <c r="A77" s="20" t="s">
        <v>58</v>
      </c>
      <c r="B77" s="13"/>
      <c r="C77" s="13"/>
      <c r="D77" s="20" t="s">
        <v>59</v>
      </c>
      <c r="E77" s="13"/>
      <c r="F77" s="13"/>
      <c r="G77" s="20" t="s">
        <v>60</v>
      </c>
      <c r="H77" s="13"/>
      <c r="I77" s="13"/>
    </row>
  </sheetData>
  <mergeCells count="87">
    <mergeCell ref="C1:G1"/>
    <mergeCell ref="B23:C23"/>
    <mergeCell ref="B42:I42"/>
    <mergeCell ref="D32:E32"/>
    <mergeCell ref="F32:G32"/>
    <mergeCell ref="F26:G26"/>
    <mergeCell ref="A20:I20"/>
    <mergeCell ref="F35:G35"/>
    <mergeCell ref="F38:G38"/>
    <mergeCell ref="H32:I32"/>
    <mergeCell ref="F27:G27"/>
    <mergeCell ref="H27:I27"/>
    <mergeCell ref="F37:G37"/>
    <mergeCell ref="H24:I24"/>
    <mergeCell ref="H33:I33"/>
    <mergeCell ref="B36:C36"/>
    <mergeCell ref="D77:F77"/>
    <mergeCell ref="A16:I16"/>
    <mergeCell ref="A8"/>
    <mergeCell ref="C6:G6"/>
    <mergeCell ref="D21:E21"/>
    <mergeCell ref="B39:C39"/>
    <mergeCell ref="F24:G24"/>
    <mergeCell ref="G77:I77"/>
    <mergeCell ref="C13:D13"/>
    <mergeCell ref="H26:I26"/>
    <mergeCell ref="C2:G2"/>
    <mergeCell ref="B34:C34"/>
    <mergeCell ref="F22:G22"/>
    <mergeCell ref="G12:I12"/>
    <mergeCell ref="H22:I22"/>
    <mergeCell ref="D25:E25"/>
    <mergeCell ref="B12:D12"/>
    <mergeCell ref="C3:G3"/>
    <mergeCell ref="A45:I45"/>
    <mergeCell ref="B41:I41"/>
    <mergeCell ref="H38:I38"/>
    <mergeCell ref="H31:I31"/>
    <mergeCell ref="F21:G21"/>
    <mergeCell ref="H21:I21"/>
    <mergeCell ref="D27:E27"/>
    <mergeCell ref="F36:G36"/>
    <mergeCell ref="B37:C37"/>
    <mergeCell ref="D37:E37"/>
    <mergeCell ref="F31:G31"/>
    <mergeCell ref="D39:E39"/>
    <mergeCell ref="F39:G39"/>
    <mergeCell ref="D38:E38"/>
    <mergeCell ref="A77:C77"/>
    <mergeCell ref="F13:G13"/>
    <mergeCell ref="A30:I30"/>
    <mergeCell ref="B24:C24"/>
    <mergeCell ref="D24:E24"/>
    <mergeCell ref="B33:C33"/>
    <mergeCell ref="D33:E33"/>
    <mergeCell ref="H23:I23"/>
    <mergeCell ref="B32:C32"/>
    <mergeCell ref="B26:C26"/>
    <mergeCell ref="D26:E26"/>
    <mergeCell ref="B35:C35"/>
    <mergeCell ref="D35:E35"/>
    <mergeCell ref="B25:C25"/>
    <mergeCell ref="D34:E34"/>
    <mergeCell ref="F34:G34"/>
    <mergeCell ref="D36:E36"/>
    <mergeCell ref="D31:E31"/>
    <mergeCell ref="H39:I39"/>
    <mergeCell ref="C4:G4"/>
    <mergeCell ref="B21:C21"/>
    <mergeCell ref="B8:I8"/>
    <mergeCell ref="B38:C38"/>
    <mergeCell ref="F23:G23"/>
    <mergeCell ref="B10:I10"/>
    <mergeCell ref="H37:I37"/>
    <mergeCell ref="E12:F12"/>
    <mergeCell ref="B27:C27"/>
    <mergeCell ref="H25:I25"/>
    <mergeCell ref="H34:I34"/>
    <mergeCell ref="F33:G33"/>
    <mergeCell ref="H36:I36"/>
    <mergeCell ref="H35:I35"/>
    <mergeCell ref="F25:G25"/>
    <mergeCell ref="C5:G5"/>
    <mergeCell ref="B22:C22"/>
    <mergeCell ref="D22:E22"/>
    <mergeCell ref="B31:C31"/>
    <mergeCell ref="D23:E23"/>
  </mergeCells>
  <pageMargins left="0.35" right="0.35" top="0.45" bottom="0.45" header="0.5" footer="0.5"/>
  <pageSetup paperSize="9" fitToHeight="0" orientation="portrait"/>
  <rowBreaks count="1" manualBreakCount="1">
    <brk id="44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L22"/>
  <sheetViews>
    <sheetView workbookViewId="0"/>
  </sheetViews>
  <sheetFormatPr baseColWidth="10" defaultColWidth="8.88671875" defaultRowHeight="14.4" x14ac:dyDescent="0.3"/>
  <sheetData>
    <row r="1" spans="1:12" x14ac:dyDescent="0.3">
      <c r="F1" t="str">
        <f>IFERROR(INDEX(LINEST(B3:B6,A3:A6^{1,2}),1,1),"")</f>
        <v/>
      </c>
    </row>
    <row r="2" spans="1:12" x14ac:dyDescent="0.3">
      <c r="F2" t="str">
        <f>IFERROR(INDEX(LINEST(B3:B6,A3:A6^{1,2}),1,2),"")</f>
        <v/>
      </c>
    </row>
    <row r="3" spans="1:12" x14ac:dyDescent="0.3">
      <c r="A3" t="e">
        <f>IF(OR(NOT(ISNUMBER(Reporte!B38)),NOT(ISNUMBER(Reporte!B39)),Reporte!B39=0),NA(),Reporte!B38)</f>
        <v>#N/A</v>
      </c>
      <c r="B3" t="e">
        <f>IF(ISNA(A3),NA(),Reporte!B39)</f>
        <v>#N/A</v>
      </c>
      <c r="F3" t="str">
        <f>IFERROR(INDEX(LINEST(B3:B6,A3:A6^{1,2}),1,3),"")</f>
        <v/>
      </c>
      <c r="H3" t="e">
        <f t="shared" ref="H3:H22" si="0">IF(OR(NOT(ISNUMBER($F$1)),NOT(ISNUMBER($F$4))),NA(),$F$4+(ROW()-13)*0.5)</f>
        <v>#N/A</v>
      </c>
      <c r="I3" t="e">
        <f t="shared" ref="I3:I22" si="1">IF(ISNA(H3),NA(),$F$1*H3^2+$F$2*H3+$F$3)</f>
        <v>#N/A</v>
      </c>
      <c r="K3" t="e">
        <f>IF(ISNUMBER($F$4),$F$4,NA())</f>
        <v>#N/A</v>
      </c>
      <c r="L3" t="e">
        <f>IF(ISNUMBER($F$5),$F$5,NA())</f>
        <v>#N/A</v>
      </c>
    </row>
    <row r="4" spans="1:12" x14ac:dyDescent="0.3">
      <c r="A4" t="e">
        <f>IF(OR(NOT(ISNUMBER(Reporte!D38)),NOT(ISNUMBER(Reporte!D39)),Reporte!D39=0),NA(),Reporte!D38)</f>
        <v>#N/A</v>
      </c>
      <c r="B4" t="e">
        <f>IF(ISNA(A4),NA(),Reporte!D39)</f>
        <v>#N/A</v>
      </c>
      <c r="F4" t="str">
        <f>IF(AND(ISNUMBER(F1),N(F1)&lt;&gt;0),-F2/(2*F1),"")</f>
        <v/>
      </c>
      <c r="H4" t="e">
        <f t="shared" si="0"/>
        <v>#N/A</v>
      </c>
      <c r="I4" t="e">
        <f t="shared" si="1"/>
        <v>#N/A</v>
      </c>
    </row>
    <row r="5" spans="1:12" x14ac:dyDescent="0.3">
      <c r="A5" t="e">
        <f>IF(OR(NOT(ISNUMBER(Reporte!F38)),NOT(ISNUMBER(Reporte!F39)),Reporte!F39=0),NA(),Reporte!F38)</f>
        <v>#N/A</v>
      </c>
      <c r="B5" t="e">
        <f>IF(ISNA(A5),NA(),Reporte!F39)</f>
        <v>#N/A</v>
      </c>
      <c r="F5" t="str">
        <f>IF(ISNUMBER(F4),F1*F4^2+F2*F4+F3,"")</f>
        <v/>
      </c>
      <c r="H5" t="e">
        <f t="shared" si="0"/>
        <v>#N/A</v>
      </c>
      <c r="I5" t="e">
        <f t="shared" si="1"/>
        <v>#N/A</v>
      </c>
    </row>
    <row r="6" spans="1:12" x14ac:dyDescent="0.3">
      <c r="A6" t="e">
        <f>IF(OR(NOT(ISNUMBER(Reporte!H38)),NOT(ISNUMBER(Reporte!H39)),Reporte!H39=0),NA(),Reporte!H38)</f>
        <v>#N/A</v>
      </c>
      <c r="B6" t="e">
        <f>IF(ISNA(A6),NA(),Reporte!H39)</f>
        <v>#N/A</v>
      </c>
      <c r="H6" t="e">
        <f t="shared" si="0"/>
        <v>#N/A</v>
      </c>
      <c r="I6" t="e">
        <f t="shared" si="1"/>
        <v>#N/A</v>
      </c>
    </row>
    <row r="7" spans="1:12" x14ac:dyDescent="0.3">
      <c r="H7" t="e">
        <f t="shared" si="0"/>
        <v>#N/A</v>
      </c>
      <c r="I7" t="e">
        <f t="shared" si="1"/>
        <v>#N/A</v>
      </c>
    </row>
    <row r="8" spans="1:12" x14ac:dyDescent="0.3">
      <c r="H8" t="e">
        <f t="shared" si="0"/>
        <v>#N/A</v>
      </c>
      <c r="I8" t="e">
        <f t="shared" si="1"/>
        <v>#N/A</v>
      </c>
    </row>
    <row r="9" spans="1:12" x14ac:dyDescent="0.3">
      <c r="H9" t="e">
        <f t="shared" si="0"/>
        <v>#N/A</v>
      </c>
      <c r="I9" t="e">
        <f t="shared" si="1"/>
        <v>#N/A</v>
      </c>
    </row>
    <row r="10" spans="1:12" x14ac:dyDescent="0.3">
      <c r="H10" t="e">
        <f t="shared" si="0"/>
        <v>#N/A</v>
      </c>
      <c r="I10" t="e">
        <f t="shared" si="1"/>
        <v>#N/A</v>
      </c>
    </row>
    <row r="11" spans="1:12" x14ac:dyDescent="0.3">
      <c r="H11" t="e">
        <f t="shared" si="0"/>
        <v>#N/A</v>
      </c>
      <c r="I11" t="e">
        <f t="shared" si="1"/>
        <v>#N/A</v>
      </c>
    </row>
    <row r="12" spans="1:12" x14ac:dyDescent="0.3">
      <c r="H12" t="e">
        <f t="shared" si="0"/>
        <v>#N/A</v>
      </c>
      <c r="I12" t="e">
        <f t="shared" si="1"/>
        <v>#N/A</v>
      </c>
    </row>
    <row r="13" spans="1:12" x14ac:dyDescent="0.3">
      <c r="H13" t="e">
        <f t="shared" si="0"/>
        <v>#N/A</v>
      </c>
      <c r="I13" t="e">
        <f t="shared" si="1"/>
        <v>#N/A</v>
      </c>
    </row>
    <row r="14" spans="1:12" x14ac:dyDescent="0.3">
      <c r="H14" t="e">
        <f t="shared" si="0"/>
        <v>#N/A</v>
      </c>
      <c r="I14" t="e">
        <f t="shared" si="1"/>
        <v>#N/A</v>
      </c>
    </row>
    <row r="15" spans="1:12" x14ac:dyDescent="0.3">
      <c r="H15" t="e">
        <f t="shared" si="0"/>
        <v>#N/A</v>
      </c>
      <c r="I15" t="e">
        <f t="shared" si="1"/>
        <v>#N/A</v>
      </c>
    </row>
    <row r="16" spans="1:12" x14ac:dyDescent="0.3">
      <c r="H16" t="e">
        <f t="shared" si="0"/>
        <v>#N/A</v>
      </c>
      <c r="I16" t="e">
        <f t="shared" si="1"/>
        <v>#N/A</v>
      </c>
    </row>
    <row r="17" spans="8:9" x14ac:dyDescent="0.3">
      <c r="H17" t="e">
        <f t="shared" si="0"/>
        <v>#N/A</v>
      </c>
      <c r="I17" t="e">
        <f t="shared" si="1"/>
        <v>#N/A</v>
      </c>
    </row>
    <row r="18" spans="8:9" x14ac:dyDescent="0.3">
      <c r="H18" t="e">
        <f t="shared" si="0"/>
        <v>#N/A</v>
      </c>
      <c r="I18" t="e">
        <f t="shared" si="1"/>
        <v>#N/A</v>
      </c>
    </row>
    <row r="19" spans="8:9" x14ac:dyDescent="0.3">
      <c r="H19" t="e">
        <f t="shared" si="0"/>
        <v>#N/A</v>
      </c>
      <c r="I19" t="e">
        <f t="shared" si="1"/>
        <v>#N/A</v>
      </c>
    </row>
    <row r="20" spans="8:9" x14ac:dyDescent="0.3">
      <c r="H20" t="e">
        <f t="shared" si="0"/>
        <v>#N/A</v>
      </c>
      <c r="I20" t="e">
        <f t="shared" si="1"/>
        <v>#N/A</v>
      </c>
    </row>
    <row r="21" spans="8:9" x14ac:dyDescent="0.3">
      <c r="H21" t="e">
        <f t="shared" si="0"/>
        <v>#N/A</v>
      </c>
      <c r="I21" t="e">
        <f t="shared" si="1"/>
        <v>#N/A</v>
      </c>
    </row>
    <row r="22" spans="8:9" x14ac:dyDescent="0.3">
      <c r="H22" t="e">
        <f t="shared" si="0"/>
        <v>#N/A</v>
      </c>
      <c r="I22" t="e">
        <f t="shared" si="1"/>
        <v>#N/A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4A3B8"/>
  </sheetPr>
  <dimension ref="A1:S4"/>
  <sheetViews>
    <sheetView workbookViewId="0"/>
  </sheetViews>
  <sheetFormatPr baseColWidth="10" defaultColWidth="8.88671875" defaultRowHeight="14.4" x14ac:dyDescent="0.3"/>
  <sheetData>
    <row r="1" spans="1:19" x14ac:dyDescent="0.3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  <c r="M1" t="s">
        <v>73</v>
      </c>
      <c r="N1" t="s">
        <v>74</v>
      </c>
      <c r="O1" t="s">
        <v>75</v>
      </c>
      <c r="P1" t="s">
        <v>76</v>
      </c>
      <c r="Q1" t="s">
        <v>77</v>
      </c>
      <c r="R1" t="s">
        <v>78</v>
      </c>
      <c r="S1" t="s">
        <v>79</v>
      </c>
    </row>
    <row r="2" spans="1:19" x14ac:dyDescent="0.3">
      <c r="A2" t="s">
        <v>80</v>
      </c>
      <c r="B2" t="s">
        <v>81</v>
      </c>
      <c r="C2" t="s">
        <v>82</v>
      </c>
      <c r="D2" t="s">
        <v>83</v>
      </c>
      <c r="E2">
        <v>620</v>
      </c>
      <c r="F2">
        <v>480</v>
      </c>
      <c r="G2" t="s">
        <v>84</v>
      </c>
      <c r="L2" t="s">
        <v>85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>
        <v>1</v>
      </c>
    </row>
    <row r="3" spans="1:19" x14ac:dyDescent="0.3">
      <c r="A3" t="s">
        <v>80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>
        <v>2</v>
      </c>
    </row>
    <row r="4" spans="1:19" x14ac:dyDescent="0.3">
      <c r="A4" t="s">
        <v>80</v>
      </c>
      <c r="N4" t="s">
        <v>97</v>
      </c>
      <c r="O4" t="s">
        <v>93</v>
      </c>
      <c r="P4" t="s">
        <v>98</v>
      </c>
      <c r="Q4" t="s">
        <v>99</v>
      </c>
      <c r="R4" t="s">
        <v>100</v>
      </c>
      <c r="S4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94A3B8"/>
  </sheetPr>
  <dimension ref="A1:D50"/>
  <sheetViews>
    <sheetView workbookViewId="0"/>
  </sheetViews>
  <sheetFormatPr baseColWidth="10" defaultColWidth="8.88671875" defaultRowHeight="14.4" x14ac:dyDescent="0.3"/>
  <sheetData>
    <row r="1" spans="1:4" x14ac:dyDescent="0.3">
      <c r="A1" t="s">
        <v>101</v>
      </c>
      <c r="B1" t="s">
        <v>102</v>
      </c>
      <c r="C1" t="s">
        <v>63</v>
      </c>
      <c r="D1" t="s">
        <v>103</v>
      </c>
    </row>
    <row r="2" spans="1:4" x14ac:dyDescent="0.3">
      <c r="A2" t="s">
        <v>104</v>
      </c>
      <c r="B2" t="s">
        <v>105</v>
      </c>
      <c r="C2" t="s">
        <v>106</v>
      </c>
    </row>
    <row r="3" spans="1:4" x14ac:dyDescent="0.3">
      <c r="A3" t="s">
        <v>107</v>
      </c>
      <c r="B3" t="s">
        <v>108</v>
      </c>
      <c r="C3" t="s">
        <v>106</v>
      </c>
    </row>
    <row r="4" spans="1:4" x14ac:dyDescent="0.3">
      <c r="A4" t="s">
        <v>109</v>
      </c>
      <c r="B4" t="s">
        <v>110</v>
      </c>
      <c r="C4" t="s">
        <v>106</v>
      </c>
    </row>
    <row r="5" spans="1:4" x14ac:dyDescent="0.3">
      <c r="A5" t="s">
        <v>111</v>
      </c>
      <c r="B5" t="s">
        <v>112</v>
      </c>
      <c r="C5" t="s">
        <v>106</v>
      </c>
    </row>
    <row r="6" spans="1:4" x14ac:dyDescent="0.3">
      <c r="A6" t="s">
        <v>113</v>
      </c>
      <c r="B6" t="s">
        <v>114</v>
      </c>
      <c r="C6" t="s">
        <v>106</v>
      </c>
    </row>
    <row r="7" spans="1:4" x14ac:dyDescent="0.3">
      <c r="A7" t="s">
        <v>115</v>
      </c>
      <c r="B7" t="s">
        <v>116</v>
      </c>
      <c r="C7" t="s">
        <v>106</v>
      </c>
    </row>
    <row r="8" spans="1:4" x14ac:dyDescent="0.3">
      <c r="A8" t="s">
        <v>117</v>
      </c>
      <c r="B8" t="s">
        <v>118</v>
      </c>
      <c r="C8" t="s">
        <v>106</v>
      </c>
    </row>
    <row r="9" spans="1:4" x14ac:dyDescent="0.3">
      <c r="A9" t="s">
        <v>119</v>
      </c>
      <c r="B9" t="s">
        <v>120</v>
      </c>
      <c r="C9" t="s">
        <v>121</v>
      </c>
      <c r="D9" t="s">
        <v>122</v>
      </c>
    </row>
    <row r="10" spans="1:4" x14ac:dyDescent="0.3">
      <c r="A10" t="s">
        <v>123</v>
      </c>
      <c r="B10" t="s">
        <v>124</v>
      </c>
      <c r="C10" t="s">
        <v>125</v>
      </c>
      <c r="D10" t="s">
        <v>126</v>
      </c>
    </row>
    <row r="11" spans="1:4" x14ac:dyDescent="0.3">
      <c r="A11" t="s">
        <v>127</v>
      </c>
      <c r="B11" t="s">
        <v>128</v>
      </c>
      <c r="C11" t="s">
        <v>125</v>
      </c>
      <c r="D11" t="s">
        <v>126</v>
      </c>
    </row>
    <row r="12" spans="1:4" x14ac:dyDescent="0.3">
      <c r="A12" t="s">
        <v>129</v>
      </c>
      <c r="B12" t="s">
        <v>130</v>
      </c>
      <c r="C12" t="s">
        <v>106</v>
      </c>
    </row>
    <row r="13" spans="1:4" x14ac:dyDescent="0.3">
      <c r="A13" t="s">
        <v>131</v>
      </c>
      <c r="B13" t="s">
        <v>132</v>
      </c>
      <c r="C13" t="s">
        <v>106</v>
      </c>
    </row>
    <row r="14" spans="1:4" x14ac:dyDescent="0.3">
      <c r="A14" t="s">
        <v>133</v>
      </c>
      <c r="B14" t="s">
        <v>134</v>
      </c>
      <c r="C14" t="s">
        <v>106</v>
      </c>
    </row>
    <row r="15" spans="1:4" x14ac:dyDescent="0.3">
      <c r="A15" t="s">
        <v>135</v>
      </c>
      <c r="B15" t="s">
        <v>136</v>
      </c>
      <c r="C15" t="s">
        <v>106</v>
      </c>
    </row>
    <row r="16" spans="1:4" x14ac:dyDescent="0.3">
      <c r="A16" t="s">
        <v>137</v>
      </c>
      <c r="B16" t="s">
        <v>138</v>
      </c>
      <c r="C16" t="s">
        <v>106</v>
      </c>
    </row>
    <row r="17" spans="1:4" x14ac:dyDescent="0.3">
      <c r="A17" t="s">
        <v>139</v>
      </c>
      <c r="B17" t="s">
        <v>140</v>
      </c>
      <c r="C17" t="s">
        <v>106</v>
      </c>
    </row>
    <row r="18" spans="1:4" x14ac:dyDescent="0.3">
      <c r="A18" t="s">
        <v>141</v>
      </c>
      <c r="B18" t="s">
        <v>142</v>
      </c>
      <c r="C18" t="s">
        <v>125</v>
      </c>
      <c r="D18" t="s">
        <v>126</v>
      </c>
    </row>
    <row r="19" spans="1:4" x14ac:dyDescent="0.3">
      <c r="A19" t="s">
        <v>143</v>
      </c>
      <c r="B19" t="s">
        <v>144</v>
      </c>
      <c r="C19" t="s">
        <v>125</v>
      </c>
      <c r="D19" t="s">
        <v>126</v>
      </c>
    </row>
    <row r="20" spans="1:4" x14ac:dyDescent="0.3">
      <c r="A20" t="s">
        <v>145</v>
      </c>
      <c r="B20" t="s">
        <v>146</v>
      </c>
      <c r="C20" t="s">
        <v>125</v>
      </c>
      <c r="D20" t="s">
        <v>147</v>
      </c>
    </row>
    <row r="21" spans="1:4" x14ac:dyDescent="0.3">
      <c r="A21" t="s">
        <v>148</v>
      </c>
      <c r="B21" t="s">
        <v>149</v>
      </c>
      <c r="C21" t="s">
        <v>125</v>
      </c>
      <c r="D21" t="s">
        <v>147</v>
      </c>
    </row>
    <row r="22" spans="1:4" x14ac:dyDescent="0.3">
      <c r="A22" t="s">
        <v>150</v>
      </c>
      <c r="B22" t="s">
        <v>151</v>
      </c>
      <c r="C22" t="s">
        <v>125</v>
      </c>
      <c r="D22" t="s">
        <v>147</v>
      </c>
    </row>
    <row r="23" spans="1:4" x14ac:dyDescent="0.3">
      <c r="A23" t="s">
        <v>152</v>
      </c>
      <c r="B23" t="s">
        <v>153</v>
      </c>
      <c r="C23" t="s">
        <v>125</v>
      </c>
      <c r="D23" t="s">
        <v>126</v>
      </c>
    </row>
    <row r="24" spans="1:4" x14ac:dyDescent="0.3">
      <c r="A24" t="s">
        <v>154</v>
      </c>
      <c r="B24" t="s">
        <v>155</v>
      </c>
      <c r="C24" t="s">
        <v>125</v>
      </c>
      <c r="D24" t="s">
        <v>126</v>
      </c>
    </row>
    <row r="25" spans="1:4" x14ac:dyDescent="0.3">
      <c r="A25" t="s">
        <v>156</v>
      </c>
      <c r="B25" t="s">
        <v>157</v>
      </c>
      <c r="C25" t="s">
        <v>125</v>
      </c>
      <c r="D25" t="s">
        <v>126</v>
      </c>
    </row>
    <row r="26" spans="1:4" x14ac:dyDescent="0.3">
      <c r="A26" t="s">
        <v>158</v>
      </c>
      <c r="B26" t="s">
        <v>159</v>
      </c>
      <c r="C26" t="s">
        <v>125</v>
      </c>
      <c r="D26" t="s">
        <v>126</v>
      </c>
    </row>
    <row r="27" spans="1:4" x14ac:dyDescent="0.3">
      <c r="A27" t="s">
        <v>160</v>
      </c>
      <c r="B27" t="s">
        <v>161</v>
      </c>
      <c r="C27" t="s">
        <v>125</v>
      </c>
      <c r="D27" t="s">
        <v>126</v>
      </c>
    </row>
    <row r="28" spans="1:4" x14ac:dyDescent="0.3">
      <c r="A28" t="s">
        <v>162</v>
      </c>
      <c r="B28" t="s">
        <v>163</v>
      </c>
      <c r="C28" t="s">
        <v>125</v>
      </c>
      <c r="D28" t="s">
        <v>126</v>
      </c>
    </row>
    <row r="29" spans="1:4" x14ac:dyDescent="0.3">
      <c r="A29" t="s">
        <v>164</v>
      </c>
      <c r="B29" t="s">
        <v>165</v>
      </c>
      <c r="C29" t="s">
        <v>125</v>
      </c>
      <c r="D29" t="s">
        <v>126</v>
      </c>
    </row>
    <row r="30" spans="1:4" x14ac:dyDescent="0.3">
      <c r="A30" t="s">
        <v>166</v>
      </c>
      <c r="B30" t="s">
        <v>167</v>
      </c>
      <c r="C30" t="s">
        <v>125</v>
      </c>
      <c r="D30" t="s">
        <v>126</v>
      </c>
    </row>
    <row r="31" spans="1:4" x14ac:dyDescent="0.3">
      <c r="A31" t="s">
        <v>168</v>
      </c>
      <c r="B31" t="s">
        <v>169</v>
      </c>
      <c r="C31" t="s">
        <v>125</v>
      </c>
      <c r="D31" t="s">
        <v>126</v>
      </c>
    </row>
    <row r="32" spans="1:4" x14ac:dyDescent="0.3">
      <c r="A32" t="s">
        <v>170</v>
      </c>
      <c r="B32" t="s">
        <v>171</v>
      </c>
      <c r="C32" t="s">
        <v>125</v>
      </c>
      <c r="D32" t="s">
        <v>126</v>
      </c>
    </row>
    <row r="33" spans="1:4" x14ac:dyDescent="0.3">
      <c r="A33" t="s">
        <v>172</v>
      </c>
      <c r="B33" t="s">
        <v>173</v>
      </c>
      <c r="C33" t="s">
        <v>125</v>
      </c>
      <c r="D33" t="s">
        <v>126</v>
      </c>
    </row>
    <row r="34" spans="1:4" x14ac:dyDescent="0.3">
      <c r="A34" t="s">
        <v>174</v>
      </c>
      <c r="B34" t="s">
        <v>175</v>
      </c>
      <c r="C34" t="s">
        <v>125</v>
      </c>
      <c r="D34" t="s">
        <v>126</v>
      </c>
    </row>
    <row r="35" spans="1:4" x14ac:dyDescent="0.3">
      <c r="A35" t="s">
        <v>176</v>
      </c>
      <c r="B35" t="s">
        <v>177</v>
      </c>
      <c r="C35" t="s">
        <v>106</v>
      </c>
    </row>
    <row r="36" spans="1:4" x14ac:dyDescent="0.3">
      <c r="A36" t="s">
        <v>178</v>
      </c>
      <c r="B36" t="s">
        <v>179</v>
      </c>
      <c r="C36" t="s">
        <v>125</v>
      </c>
      <c r="D36" t="s">
        <v>126</v>
      </c>
    </row>
    <row r="37" spans="1:4" x14ac:dyDescent="0.3">
      <c r="A37" t="s">
        <v>180</v>
      </c>
      <c r="B37" t="s">
        <v>181</v>
      </c>
      <c r="C37" t="s">
        <v>125</v>
      </c>
      <c r="D37" t="s">
        <v>126</v>
      </c>
    </row>
    <row r="38" spans="1:4" x14ac:dyDescent="0.3">
      <c r="A38" t="s">
        <v>182</v>
      </c>
      <c r="B38" t="s">
        <v>183</v>
      </c>
      <c r="C38" t="s">
        <v>125</v>
      </c>
      <c r="D38" t="s">
        <v>126</v>
      </c>
    </row>
    <row r="39" spans="1:4" x14ac:dyDescent="0.3">
      <c r="A39" t="s">
        <v>184</v>
      </c>
      <c r="B39" t="s">
        <v>185</v>
      </c>
      <c r="C39" t="s">
        <v>106</v>
      </c>
    </row>
    <row r="40" spans="1:4" x14ac:dyDescent="0.3">
      <c r="A40" t="s">
        <v>186</v>
      </c>
      <c r="B40" t="s">
        <v>187</v>
      </c>
      <c r="C40" t="s">
        <v>125</v>
      </c>
      <c r="D40" t="s">
        <v>126</v>
      </c>
    </row>
    <row r="41" spans="1:4" x14ac:dyDescent="0.3">
      <c r="A41" t="s">
        <v>188</v>
      </c>
      <c r="B41" t="s">
        <v>189</v>
      </c>
      <c r="C41" t="s">
        <v>125</v>
      </c>
      <c r="D41" t="s">
        <v>126</v>
      </c>
    </row>
    <row r="42" spans="1:4" x14ac:dyDescent="0.3">
      <c r="A42" t="s">
        <v>190</v>
      </c>
      <c r="B42" t="s">
        <v>191</v>
      </c>
      <c r="C42" t="s">
        <v>125</v>
      </c>
      <c r="D42" t="s">
        <v>126</v>
      </c>
    </row>
    <row r="43" spans="1:4" x14ac:dyDescent="0.3">
      <c r="A43" t="s">
        <v>192</v>
      </c>
      <c r="B43" t="s">
        <v>193</v>
      </c>
      <c r="C43" t="s">
        <v>106</v>
      </c>
    </row>
    <row r="44" spans="1:4" x14ac:dyDescent="0.3">
      <c r="A44" t="s">
        <v>194</v>
      </c>
      <c r="B44" t="s">
        <v>195</v>
      </c>
      <c r="C44" t="s">
        <v>125</v>
      </c>
      <c r="D44" t="s">
        <v>126</v>
      </c>
    </row>
    <row r="45" spans="1:4" x14ac:dyDescent="0.3">
      <c r="A45" t="s">
        <v>196</v>
      </c>
      <c r="B45" t="s">
        <v>197</v>
      </c>
      <c r="C45" t="s">
        <v>125</v>
      </c>
      <c r="D45" t="s">
        <v>126</v>
      </c>
    </row>
    <row r="46" spans="1:4" x14ac:dyDescent="0.3">
      <c r="A46" t="s">
        <v>198</v>
      </c>
      <c r="B46" t="s">
        <v>199</v>
      </c>
      <c r="C46" t="s">
        <v>125</v>
      </c>
      <c r="D46" t="s">
        <v>126</v>
      </c>
    </row>
    <row r="47" spans="1:4" x14ac:dyDescent="0.3">
      <c r="A47" t="s">
        <v>200</v>
      </c>
      <c r="B47" t="s">
        <v>201</v>
      </c>
      <c r="C47" t="s">
        <v>106</v>
      </c>
    </row>
    <row r="48" spans="1:4" x14ac:dyDescent="0.3">
      <c r="A48" t="s">
        <v>202</v>
      </c>
      <c r="B48" t="s">
        <v>203</v>
      </c>
      <c r="C48" t="s">
        <v>125</v>
      </c>
      <c r="D48" t="s">
        <v>126</v>
      </c>
    </row>
    <row r="49" spans="1:4" x14ac:dyDescent="0.3">
      <c r="A49" t="s">
        <v>204</v>
      </c>
      <c r="B49" t="s">
        <v>205</v>
      </c>
      <c r="C49" t="s">
        <v>125</v>
      </c>
      <c r="D49" t="s">
        <v>126</v>
      </c>
    </row>
    <row r="50" spans="1:4" x14ac:dyDescent="0.3">
      <c r="A50" t="s">
        <v>206</v>
      </c>
      <c r="B50" t="s">
        <v>207</v>
      </c>
      <c r="C50" t="s">
        <v>125</v>
      </c>
      <c r="D50" t="s">
        <v>126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7</vt:i4>
      </vt:variant>
    </vt:vector>
  </HeadingPairs>
  <TitlesOfParts>
    <vt:vector size="11" baseType="lpstr">
      <vt:lpstr>Reporte</vt:lpstr>
      <vt:lpstr>_DATOS</vt:lpstr>
      <vt:lpstr>_GRAFICOS</vt:lpstr>
      <vt:lpstr>_MAPA</vt:lpstr>
      <vt:lpstr>AjusteX</vt:lpstr>
      <vt:lpstr>AjusteY</vt:lpstr>
      <vt:lpstr>Reporte!Área_de_impresión</vt:lpstr>
      <vt:lpstr>CurvaX</vt:lpstr>
      <vt:lpstr>CurvaY</vt:lpstr>
      <vt:lpstr>MDSX</vt:lpstr>
      <vt:lpstr>MDSY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Franchesco Duman</cp:lastModifiedBy>
  <dcterms:created xsi:type="dcterms:W3CDTF">2026-09-07T15:41:28Z</dcterms:created>
  <dcterms:modified xsi:type="dcterms:W3CDTF">2026-09-07T15:41:34Z</dcterms:modified>
</cp:coreProperties>
</file>