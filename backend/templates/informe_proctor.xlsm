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BEC626F1-A97D-4D91-AE24-19DDB3A0668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_DATOS!$H$3:$H$203</definedName>
    <definedName name="AjusteY">_DATOS!$I$3:$I$203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H38" i="1" l="1"/>
  <c r="H37" i="1"/>
  <c r="F37" i="1"/>
  <c r="F38" i="1" s="1"/>
  <c r="D37" i="1"/>
  <c r="D38" i="1" s="1"/>
  <c r="B37" i="1"/>
  <c r="B38" i="1" s="1"/>
  <c r="H36" i="1"/>
  <c r="F36" i="1"/>
  <c r="D36" i="1"/>
  <c r="B36" i="1"/>
  <c r="H25" i="1"/>
  <c r="F25" i="1"/>
  <c r="F27" i="1" s="1"/>
  <c r="D25" i="1"/>
  <c r="B25" i="1"/>
  <c r="I17" i="1"/>
  <c r="F26" i="1" s="1"/>
  <c r="F39" i="1" l="1"/>
  <c r="A5" i="2" s="1"/>
  <c r="B5" i="2" s="1"/>
  <c r="B27" i="1"/>
  <c r="B39" i="1" s="1"/>
  <c r="A3" i="2" s="1"/>
  <c r="D26" i="1"/>
  <c r="D27" i="1" s="1"/>
  <c r="D39" i="1" s="1"/>
  <c r="A4" i="2" s="1"/>
  <c r="B4" i="2" s="1"/>
  <c r="H26" i="1"/>
  <c r="H27" i="1" s="1"/>
  <c r="H39" i="1" s="1"/>
  <c r="A6" i="2" s="1"/>
  <c r="B6" i="2" s="1"/>
  <c r="B26" i="1"/>
  <c r="F8" i="2" l="1"/>
  <c r="F11" i="2" s="1"/>
  <c r="F12" i="2" s="1"/>
  <c r="F5" i="2" s="1"/>
  <c r="G2" i="2"/>
  <c r="F3" i="2"/>
  <c r="F2" i="2"/>
  <c r="B3" i="2"/>
  <c r="G1" i="2"/>
  <c r="F9" i="2"/>
  <c r="F1" i="2"/>
  <c r="F10" i="2"/>
  <c r="L3" i="2" l="1"/>
  <c r="B41" i="1"/>
  <c r="F4" i="2"/>
  <c r="H4" i="2"/>
  <c r="I4" i="2" s="1"/>
  <c r="H74" i="2"/>
  <c r="I74" i="2" s="1"/>
  <c r="H20" i="2"/>
  <c r="I20" i="2" s="1"/>
  <c r="H85" i="2"/>
  <c r="I85" i="2" s="1"/>
  <c r="H25" i="2"/>
  <c r="I25" i="2" s="1"/>
  <c r="H198" i="2"/>
  <c r="I198" i="2" s="1"/>
  <c r="H132" i="2"/>
  <c r="I132" i="2" s="1"/>
  <c r="H60" i="2"/>
  <c r="I60" i="2" s="1"/>
  <c r="H203" i="2"/>
  <c r="I203" i="2" s="1"/>
  <c r="H197" i="2"/>
  <c r="I197" i="2" s="1"/>
  <c r="H191" i="2"/>
  <c r="I191" i="2" s="1"/>
  <c r="H185" i="2"/>
  <c r="I185" i="2" s="1"/>
  <c r="H179" i="2"/>
  <c r="I179" i="2" s="1"/>
  <c r="H173" i="2"/>
  <c r="I173" i="2" s="1"/>
  <c r="H167" i="2"/>
  <c r="I167" i="2" s="1"/>
  <c r="H161" i="2"/>
  <c r="I161" i="2" s="1"/>
  <c r="H155" i="2"/>
  <c r="I155" i="2" s="1"/>
  <c r="H149" i="2"/>
  <c r="I149" i="2" s="1"/>
  <c r="H143" i="2"/>
  <c r="I143" i="2" s="1"/>
  <c r="H137" i="2"/>
  <c r="I137" i="2" s="1"/>
  <c r="H131" i="2"/>
  <c r="I131" i="2" s="1"/>
  <c r="H125" i="2"/>
  <c r="I125" i="2" s="1"/>
  <c r="H119" i="2"/>
  <c r="I119" i="2" s="1"/>
  <c r="H113" i="2"/>
  <c r="I113" i="2" s="1"/>
  <c r="H107" i="2"/>
  <c r="I107" i="2" s="1"/>
  <c r="H101" i="2"/>
  <c r="I101" i="2" s="1"/>
  <c r="H95" i="2"/>
  <c r="I95" i="2" s="1"/>
  <c r="H89" i="2"/>
  <c r="I89" i="2" s="1"/>
  <c r="H83" i="2"/>
  <c r="I83" i="2" s="1"/>
  <c r="H77" i="2"/>
  <c r="I77" i="2" s="1"/>
  <c r="H71" i="2"/>
  <c r="I71" i="2" s="1"/>
  <c r="H65" i="2"/>
  <c r="I65" i="2" s="1"/>
  <c r="H59" i="2"/>
  <c r="I59" i="2" s="1"/>
  <c r="H53" i="2"/>
  <c r="I53" i="2" s="1"/>
  <c r="H47" i="2"/>
  <c r="I47" i="2" s="1"/>
  <c r="H41" i="2"/>
  <c r="I41" i="2" s="1"/>
  <c r="H35" i="2"/>
  <c r="I35" i="2" s="1"/>
  <c r="H29" i="2"/>
  <c r="I29" i="2" s="1"/>
  <c r="H23" i="2"/>
  <c r="I23" i="2" s="1"/>
  <c r="H17" i="2"/>
  <c r="I17" i="2" s="1"/>
  <c r="H175" i="2"/>
  <c r="I175" i="2" s="1"/>
  <c r="H121" i="2"/>
  <c r="I121" i="2" s="1"/>
  <c r="H79" i="2"/>
  <c r="I79" i="2" s="1"/>
  <c r="H31" i="2"/>
  <c r="I31" i="2" s="1"/>
  <c r="H84" i="2"/>
  <c r="I84" i="2" s="1"/>
  <c r="H12" i="2"/>
  <c r="I12" i="2" s="1"/>
  <c r="H11" i="2"/>
  <c r="I11" i="2" s="1"/>
  <c r="H7" i="2"/>
  <c r="I7" i="2" s="1"/>
  <c r="H56" i="2"/>
  <c r="I56" i="2" s="1"/>
  <c r="H32" i="2"/>
  <c r="I32" i="2" s="1"/>
  <c r="H49" i="2"/>
  <c r="I49" i="2" s="1"/>
  <c r="H192" i="2"/>
  <c r="I192" i="2" s="1"/>
  <c r="H150" i="2"/>
  <c r="I150" i="2" s="1"/>
  <c r="H102" i="2"/>
  <c r="I102" i="2" s="1"/>
  <c r="H48" i="2"/>
  <c r="I48" i="2" s="1"/>
  <c r="H202" i="2"/>
  <c r="I202" i="2" s="1"/>
  <c r="H196" i="2"/>
  <c r="I196" i="2" s="1"/>
  <c r="H190" i="2"/>
  <c r="I190" i="2" s="1"/>
  <c r="H184" i="2"/>
  <c r="I184" i="2" s="1"/>
  <c r="H178" i="2"/>
  <c r="I178" i="2" s="1"/>
  <c r="H172" i="2"/>
  <c r="I172" i="2" s="1"/>
  <c r="H166" i="2"/>
  <c r="I166" i="2" s="1"/>
  <c r="H160" i="2"/>
  <c r="I160" i="2" s="1"/>
  <c r="H154" i="2"/>
  <c r="I154" i="2" s="1"/>
  <c r="H148" i="2"/>
  <c r="I148" i="2" s="1"/>
  <c r="H142" i="2"/>
  <c r="I142" i="2" s="1"/>
  <c r="H136" i="2"/>
  <c r="I136" i="2" s="1"/>
  <c r="H130" i="2"/>
  <c r="I130" i="2" s="1"/>
  <c r="H124" i="2"/>
  <c r="I124" i="2" s="1"/>
  <c r="H118" i="2"/>
  <c r="I118" i="2" s="1"/>
  <c r="H112" i="2"/>
  <c r="I112" i="2" s="1"/>
  <c r="H106" i="2"/>
  <c r="I106" i="2" s="1"/>
  <c r="H100" i="2"/>
  <c r="I100" i="2" s="1"/>
  <c r="H94" i="2"/>
  <c r="I94" i="2" s="1"/>
  <c r="H88" i="2"/>
  <c r="I88" i="2" s="1"/>
  <c r="H82" i="2"/>
  <c r="I82" i="2" s="1"/>
  <c r="H76" i="2"/>
  <c r="I76" i="2" s="1"/>
  <c r="H70" i="2"/>
  <c r="I70" i="2" s="1"/>
  <c r="H64" i="2"/>
  <c r="I64" i="2" s="1"/>
  <c r="H58" i="2"/>
  <c r="I58" i="2" s="1"/>
  <c r="H52" i="2"/>
  <c r="I52" i="2" s="1"/>
  <c r="H46" i="2"/>
  <c r="I46" i="2" s="1"/>
  <c r="H40" i="2"/>
  <c r="I40" i="2" s="1"/>
  <c r="H34" i="2"/>
  <c r="I34" i="2" s="1"/>
  <c r="H28" i="2"/>
  <c r="I28" i="2" s="1"/>
  <c r="H22" i="2"/>
  <c r="I22" i="2" s="1"/>
  <c r="H16" i="2"/>
  <c r="I16" i="2" s="1"/>
  <c r="H9" i="2"/>
  <c r="I9" i="2" s="1"/>
  <c r="H193" i="2"/>
  <c r="I193" i="2" s="1"/>
  <c r="H169" i="2"/>
  <c r="I169" i="2" s="1"/>
  <c r="H139" i="2"/>
  <c r="I139" i="2" s="1"/>
  <c r="H97" i="2"/>
  <c r="I97" i="2" s="1"/>
  <c r="H61" i="2"/>
  <c r="I61" i="2" s="1"/>
  <c r="H168" i="2"/>
  <c r="I168" i="2" s="1"/>
  <c r="H114" i="2"/>
  <c r="I114" i="2" s="1"/>
  <c r="H66" i="2"/>
  <c r="I66" i="2" s="1"/>
  <c r="H18" i="2"/>
  <c r="I18" i="2" s="1"/>
  <c r="H6" i="2"/>
  <c r="I6" i="2" s="1"/>
  <c r="H3" i="2"/>
  <c r="I3" i="2" s="1"/>
  <c r="H187" i="2"/>
  <c r="I187" i="2" s="1"/>
  <c r="H157" i="2"/>
  <c r="I157" i="2" s="1"/>
  <c r="H133" i="2"/>
  <c r="I133" i="2" s="1"/>
  <c r="H103" i="2"/>
  <c r="I103" i="2" s="1"/>
  <c r="H55" i="2"/>
  <c r="I55" i="2" s="1"/>
  <c r="H186" i="2"/>
  <c r="I186" i="2" s="1"/>
  <c r="H156" i="2"/>
  <c r="I156" i="2" s="1"/>
  <c r="H126" i="2"/>
  <c r="I126" i="2" s="1"/>
  <c r="H90" i="2"/>
  <c r="I90" i="2" s="1"/>
  <c r="H42" i="2"/>
  <c r="I42" i="2" s="1"/>
  <c r="H8" i="2"/>
  <c r="I8" i="2" s="1"/>
  <c r="H201" i="2"/>
  <c r="I201" i="2" s="1"/>
  <c r="H195" i="2"/>
  <c r="I195" i="2" s="1"/>
  <c r="H189" i="2"/>
  <c r="I189" i="2" s="1"/>
  <c r="H183" i="2"/>
  <c r="I183" i="2" s="1"/>
  <c r="H177" i="2"/>
  <c r="I177" i="2" s="1"/>
  <c r="H171" i="2"/>
  <c r="I171" i="2" s="1"/>
  <c r="H165" i="2"/>
  <c r="I165" i="2" s="1"/>
  <c r="H159" i="2"/>
  <c r="I159" i="2" s="1"/>
  <c r="H153" i="2"/>
  <c r="I153" i="2" s="1"/>
  <c r="H147" i="2"/>
  <c r="I147" i="2" s="1"/>
  <c r="H141" i="2"/>
  <c r="I141" i="2" s="1"/>
  <c r="H135" i="2"/>
  <c r="I135" i="2" s="1"/>
  <c r="H129" i="2"/>
  <c r="I129" i="2" s="1"/>
  <c r="H123" i="2"/>
  <c r="I123" i="2" s="1"/>
  <c r="H117" i="2"/>
  <c r="I117" i="2" s="1"/>
  <c r="H111" i="2"/>
  <c r="I111" i="2" s="1"/>
  <c r="H105" i="2"/>
  <c r="I105" i="2" s="1"/>
  <c r="H99" i="2"/>
  <c r="I99" i="2" s="1"/>
  <c r="H93" i="2"/>
  <c r="I93" i="2" s="1"/>
  <c r="H87" i="2"/>
  <c r="I87" i="2" s="1"/>
  <c r="H81" i="2"/>
  <c r="I81" i="2" s="1"/>
  <c r="H75" i="2"/>
  <c r="I75" i="2" s="1"/>
  <c r="H69" i="2"/>
  <c r="I69" i="2" s="1"/>
  <c r="H63" i="2"/>
  <c r="I63" i="2" s="1"/>
  <c r="H57" i="2"/>
  <c r="I57" i="2" s="1"/>
  <c r="H51" i="2"/>
  <c r="I51" i="2" s="1"/>
  <c r="H45" i="2"/>
  <c r="I45" i="2" s="1"/>
  <c r="H39" i="2"/>
  <c r="I39" i="2" s="1"/>
  <c r="H33" i="2"/>
  <c r="I33" i="2" s="1"/>
  <c r="H27" i="2"/>
  <c r="I27" i="2" s="1"/>
  <c r="H21" i="2"/>
  <c r="I21" i="2" s="1"/>
  <c r="H15" i="2"/>
  <c r="I15" i="2" s="1"/>
  <c r="H10" i="2"/>
  <c r="I10" i="2" s="1"/>
  <c r="H68" i="2"/>
  <c r="I68" i="2" s="1"/>
  <c r="H26" i="2"/>
  <c r="I26" i="2" s="1"/>
  <c r="H199" i="2"/>
  <c r="I199" i="2" s="1"/>
  <c r="H151" i="2"/>
  <c r="I151" i="2" s="1"/>
  <c r="H115" i="2"/>
  <c r="I115" i="2" s="1"/>
  <c r="H73" i="2"/>
  <c r="I73" i="2" s="1"/>
  <c r="H13" i="2"/>
  <c r="I13" i="2" s="1"/>
  <c r="H120" i="2"/>
  <c r="I120" i="2" s="1"/>
  <c r="H30" i="2"/>
  <c r="I30" i="2" s="1"/>
  <c r="H62" i="2"/>
  <c r="I62" i="2" s="1"/>
  <c r="H181" i="2"/>
  <c r="I181" i="2" s="1"/>
  <c r="H163" i="2"/>
  <c r="I163" i="2" s="1"/>
  <c r="H145" i="2"/>
  <c r="I145" i="2" s="1"/>
  <c r="H127" i="2"/>
  <c r="I127" i="2" s="1"/>
  <c r="H91" i="2"/>
  <c r="I91" i="2" s="1"/>
  <c r="H67" i="2"/>
  <c r="I67" i="2" s="1"/>
  <c r="H19" i="2"/>
  <c r="I19" i="2" s="1"/>
  <c r="H174" i="2"/>
  <c r="I174" i="2" s="1"/>
  <c r="H138" i="2"/>
  <c r="I138" i="2" s="1"/>
  <c r="H96" i="2"/>
  <c r="I96" i="2" s="1"/>
  <c r="H72" i="2"/>
  <c r="I72" i="2" s="1"/>
  <c r="H36" i="2"/>
  <c r="I36" i="2" s="1"/>
  <c r="H200" i="2"/>
  <c r="I200" i="2" s="1"/>
  <c r="H194" i="2"/>
  <c r="I194" i="2" s="1"/>
  <c r="H188" i="2"/>
  <c r="I188" i="2" s="1"/>
  <c r="H182" i="2"/>
  <c r="I182" i="2" s="1"/>
  <c r="H176" i="2"/>
  <c r="I176" i="2" s="1"/>
  <c r="H170" i="2"/>
  <c r="I170" i="2" s="1"/>
  <c r="H164" i="2"/>
  <c r="I164" i="2" s="1"/>
  <c r="H158" i="2"/>
  <c r="I158" i="2" s="1"/>
  <c r="H152" i="2"/>
  <c r="I152" i="2" s="1"/>
  <c r="H146" i="2"/>
  <c r="I146" i="2" s="1"/>
  <c r="H140" i="2"/>
  <c r="I140" i="2" s="1"/>
  <c r="H134" i="2"/>
  <c r="I134" i="2" s="1"/>
  <c r="H128" i="2"/>
  <c r="I128" i="2" s="1"/>
  <c r="H122" i="2"/>
  <c r="I122" i="2" s="1"/>
  <c r="H116" i="2"/>
  <c r="I116" i="2" s="1"/>
  <c r="H110" i="2"/>
  <c r="I110" i="2" s="1"/>
  <c r="H104" i="2"/>
  <c r="I104" i="2" s="1"/>
  <c r="H98" i="2"/>
  <c r="I98" i="2" s="1"/>
  <c r="H92" i="2"/>
  <c r="I92" i="2" s="1"/>
  <c r="H86" i="2"/>
  <c r="I86" i="2" s="1"/>
  <c r="H80" i="2"/>
  <c r="I80" i="2" s="1"/>
  <c r="H50" i="2"/>
  <c r="I50" i="2" s="1"/>
  <c r="H44" i="2"/>
  <c r="I44" i="2" s="1"/>
  <c r="H38" i="2"/>
  <c r="I38" i="2" s="1"/>
  <c r="H14" i="2"/>
  <c r="I14" i="2" s="1"/>
  <c r="H109" i="2"/>
  <c r="I109" i="2" s="1"/>
  <c r="H37" i="2"/>
  <c r="I37" i="2" s="1"/>
  <c r="H162" i="2"/>
  <c r="I162" i="2" s="1"/>
  <c r="H78" i="2"/>
  <c r="I78" i="2" s="1"/>
  <c r="H24" i="2"/>
  <c r="I24" i="2" s="1"/>
  <c r="H5" i="2"/>
  <c r="I5" i="2" s="1"/>
  <c r="H43" i="2"/>
  <c r="I43" i="2" s="1"/>
  <c r="G3" i="2"/>
  <c r="H180" i="2"/>
  <c r="I180" i="2" s="1"/>
  <c r="H144" i="2"/>
  <c r="I144" i="2" s="1"/>
  <c r="H108" i="2"/>
  <c r="I108" i="2" s="1"/>
  <c r="H54" i="2"/>
  <c r="I54" i="2" s="1"/>
  <c r="K3" i="2" l="1"/>
  <c r="B42" i="1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<sst xmlns="http://schemas.openxmlformats.org/spreadsheetml/2006/main" count="292" uniqueCount="208">
  <si>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</si>
  <si>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</si>
  <si>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</si>
  <si>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</si>
  <si>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</si>
  <si>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</si>
  <si>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</si>
  <si>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</si>
  <si>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</si>
  <si>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</si>
  <si>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</si>
  <si>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</si>
  <si>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</si>
  <si>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</si>
  <si>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</si>
  <si>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</si>
  <si>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</si>
  <si>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</si>
  <si>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</si>
  <si>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</si>
  <si>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</si>
  <si>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</si>
  <si>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</si>
  <si>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</si>
  <si>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</si>
  <si>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</si>
  <si>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</si>
  <si>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</si>
  <si>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</si>
  <si>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</si>
  <si>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</si>
  <si>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</si>
  <si>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</si>
  <si>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</si>
  <si>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</si>
  <si>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</si>
  <si>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</si>
  <si>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</si>
  <si>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</si>
  <si>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</si>
  <si>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</si>
  <si>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</si>
  <si>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</si>
  <si>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</si>
  <si>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</si>
  <si>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</si>
  <si>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</si>
  <si>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</si>
  <si>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</si>
  <si>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</si>
  <si>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</si>
  <si>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</si>
  <si>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</si>
  <si>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</si>
  <si>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</si>
  <si>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</si>
  <si>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</si>
  <si>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</si>
  <si>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</si>
  <si>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</si>
  <si>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</si>
  <si>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</si>
  <si>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</si>
  <si>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</si>
  <si>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</si>
  <si>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</si>
  <si>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</si>
  <si>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</si>
  <si>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</si>
  <si>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</si>
  <si>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</si>
  <si>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</si>
  <si>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</si>
  <si>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</si>
  <si>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</si>
  <si>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</si>
  <si>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</si>
  <si>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</si>
  <si>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</si>
  <si>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</si>
  <si>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</si>
  <si>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</si>
  <si>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</si>
  <si>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</si>
  <si>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</si>
  <si>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</si>
  <si>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</si>
  <si>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MTC (Cúbico)</t>
  </si>
  <si>
    <t>linea_suave</t>
  </si>
  <si>
    <t>'_DATOS'!$H$3:$H$203</t>
  </si>
  <si>
    <t>'_DATOS'!$I$3:$I$203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</si>
  <si>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</si>
  <si>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</si>
  <si>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</si>
  <si>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</si>
  <si>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</si>
  <si>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</si>
  <si>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</si>
  <si>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</si>
  <si>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</si>
  <si>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</si>
  <si>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</si>
  <si>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</si>
  <si>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</si>
  <si>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</si>
  <si>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</si>
  <si>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</si>
  <si>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</si>
  <si>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</si>
  <si>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</si>
  <si>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</si>
  <si>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</si>
  <si>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</si>
  <si>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</si>
  <si>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</si>
  <si>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</si>
  <si>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</si>
  <si>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</si>
  <si>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</si>
  <si>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</si>
  <si>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</si>
  <si>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</si>
  <si>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</si>
  <si>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</si>
  <si>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</si>
  <si>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</si>
  <si>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</si>
  <si>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</si>
  <si>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</si>
  <si>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</si>
  <si>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</si>
  <si>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</si>
  <si>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</si>
  <si>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</si>
  <si>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</si>
  <si>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</si>
  <si>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</si>
  <si>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</si>
  <si>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</si>
  <si>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</si>
  <si>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</si>
  <si>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</si>
  <si>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</si>
  <si>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</si>
  <si>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</si>
  <si>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</si>
  <si>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</si>
  <si>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</si>
  <si>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</si>
  <si>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</si>
  <si>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</si>
  <si>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</si>
  <si>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</si>
  <si>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</si>
  <si>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</si>
  <si>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</si>
  <si>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</si>
  <si>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</si>
  <si>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</si>
  <si>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D22</t>
  </si>
  <si>
    <t>datos.tables.datos_ensayo.m2.masa_suelo_humedo_molde</t>
  </si>
  <si>
    <t>D23</t>
  </si>
  <si>
    <t>datos.tables.datos_ensayo.m2.agua_incrementada</t>
  </si>
  <si>
    <t>D24</t>
  </si>
  <si>
    <t>datos.tables.datos_ensayo.m3.masa_molde</t>
  </si>
  <si>
    <t>F22</t>
  </si>
  <si>
    <t>datos.tables.datos_ensayo.m3.masa_suelo_humedo_molde</t>
  </si>
  <si>
    <t>F23</t>
  </si>
  <si>
    <t>datos.tables.datos_ensayo.m3.agua_incrementada</t>
  </si>
  <si>
    <t>F24</t>
  </si>
  <si>
    <t>datos.tables.datos_ensayo.m4.masa_molde</t>
  </si>
  <si>
    <t>H22</t>
  </si>
  <si>
    <t>datos.tables.datos_ensayo.m4.masa_suelo_humedo_molde</t>
  </si>
  <si>
    <t>H23</t>
  </si>
  <si>
    <t>datos.tables.datos_ensayo.m4.agua_incrementada</t>
  </si>
  <si>
    <t>H24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</si>
  <si>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</si>
  <si>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</si>
  <si>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</si>
  <si>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</si>
  <si>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</si>
  <si>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</si>
  <si>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</si>
  <si>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</si>
  <si>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</si>
  <si>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D32</t>
  </si>
  <si>
    <t>datos.tables.calculo_humedad.m2.masa_capsula</t>
  </si>
  <si>
    <t>D33</t>
  </si>
  <si>
    <t>datos.tables.calculo_humedad.m2.masa_capsula_suelo_humedo</t>
  </si>
  <si>
    <t>D34</t>
  </si>
  <si>
    <t>datos.tables.calculo_humedad.m2.masa_capsula_suelo_seco</t>
  </si>
  <si>
    <t>D35</t>
  </si>
  <si>
    <t>datos.tables.calculo_humedad.m3.capsula_nro</t>
  </si>
  <si>
    <t>F32</t>
  </si>
  <si>
    <t>datos.tables.calculo_humedad.m3.masa_capsula</t>
  </si>
  <si>
    <t>F33</t>
  </si>
  <si>
    <t>datos.tables.calculo_humedad.m3.masa_capsula_suelo_humedo</t>
  </si>
  <si>
    <t>F34</t>
  </si>
  <si>
    <t>datos.tables.calculo_humedad.m3.masa_capsula_suelo_seco</t>
  </si>
  <si>
    <t>F35</t>
  </si>
  <si>
    <t>datos.tables.calculo_humedad.m4.capsula_nro</t>
  </si>
  <si>
    <t>H32</t>
  </si>
  <si>
    <t>datos.tables.calculo_humedad.m4.masa_capsula</t>
  </si>
  <si>
    <t>H33</t>
  </si>
  <si>
    <t>datos.tables.calculo_humedad.m4.masa_capsula_suelo_humedo</t>
  </si>
  <si>
    <t>H34</t>
  </si>
  <si>
    <t>datos.tables.calculo_humedad.m4.masa_capsula_suelo_seco</t>
  </si>
  <si>
    <t>H35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</si>
</sst>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9"/>
      <color rgb="FFFFFFFF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4" xfId="0" applyBorder="1"/>
    <xf numFmtId="2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/>
    <xf numFmtId="0" fontId="1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6" fontId="13" fillId="4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MTC (Cúbico)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_DATOS!$H$3:$H$203</c:f>
            </c:numRef>
          </c:xVal>
          <c:yVal>
            <c:numRef>
              <c:f>_DATOS!$I$3:$I$203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1E-47CA-BDF2-DA8C19569CCF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E-47CA-BDF2-DA8C19569CCF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1E-47CA-BDF2-DA8C1956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33" t="s">
        <v>0</v>
      </c>
      <c r="D1" s="13"/>
      <c r="E1" s="13"/>
      <c r="F1" s="13"/>
      <c r="G1" s="13"/>
    </row>
    <row r="2" spans="1:9" ht="15" customHeight="1" x14ac:dyDescent="0.3">
      <c r="C2" s="12" t="s">
        <v>1</v>
      </c>
      <c r="D2" s="13"/>
      <c r="E2" s="13"/>
      <c r="F2" s="13"/>
      <c r="G2" s="13"/>
    </row>
    <row r="3" spans="1:9" ht="12" customHeight="1" x14ac:dyDescent="0.3">
      <c r="C3" s="17" t="s">
        <v>2</v>
      </c>
      <c r="D3" s="13"/>
      <c r="E3" s="13"/>
      <c r="F3" s="13"/>
      <c r="G3" s="13"/>
    </row>
    <row r="4" spans="1:9" ht="12" customHeight="1" x14ac:dyDescent="0.3">
      <c r="C4" s="17" t="s">
        <v>3</v>
      </c>
      <c r="D4" s="13"/>
      <c r="E4" s="13"/>
      <c r="F4" s="13"/>
      <c r="G4" s="13"/>
    </row>
    <row r="5" spans="1:9" ht="13.95" customHeight="1" x14ac:dyDescent="0.3">
      <c r="C5" s="12" t="s">
        <v>4</v>
      </c>
      <c r="D5" s="13"/>
      <c r="E5" s="13"/>
      <c r="F5" s="13"/>
      <c r="G5" s="13"/>
    </row>
    <row r="6" spans="1:9" ht="12" customHeight="1" x14ac:dyDescent="0.3">
      <c r="C6" s="32" t="s">
        <v>5</v>
      </c>
      <c r="D6" s="13"/>
      <c r="E6" s="13"/>
      <c r="F6" s="13"/>
      <c r="G6" s="13"/>
    </row>
    <row r="7" spans="1:9" ht="4.05" customHeight="1" x14ac:dyDescent="0.3"/>
    <row r="8" spans="1:9" ht="19.95" customHeight="1" x14ac:dyDescent="0.3">
      <c r="A8" s="31" t="s">
        <v>6</v>
      </c>
      <c r="B8" s="18"/>
      <c r="C8" s="15"/>
      <c r="D8" s="15"/>
      <c r="E8" s="15"/>
      <c r="F8" s="15"/>
      <c r="G8" s="15"/>
      <c r="H8" s="15"/>
      <c r="I8" s="15"/>
    </row>
    <row r="9" spans="1:9" ht="6" customHeight="1" x14ac:dyDescent="0.3"/>
    <row r="10" spans="1:9" ht="19.95" customHeight="1" x14ac:dyDescent="0.3">
      <c r="A10" s="1" t="s">
        <v>7</v>
      </c>
      <c r="B10" s="19"/>
      <c r="C10" s="19"/>
      <c r="D10" s="19"/>
      <c r="E10" s="19"/>
      <c r="F10" s="19"/>
      <c r="G10" s="19"/>
      <c r="H10" s="19"/>
      <c r="I10" s="19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29"/>
      <c r="C12" s="30"/>
      <c r="D12" s="22"/>
      <c r="E12" s="25" t="s">
        <v>14</v>
      </c>
      <c r="F12" s="26"/>
      <c r="G12" s="28"/>
      <c r="H12" s="13"/>
      <c r="I12" s="13"/>
    </row>
    <row r="13" spans="1:9" ht="19.95" customHeight="1" x14ac:dyDescent="0.3">
      <c r="A13" s="1" t="s">
        <v>15</v>
      </c>
      <c r="B13" s="1" t="s">
        <v>16</v>
      </c>
      <c r="C13" s="21"/>
      <c r="D13" s="22"/>
      <c r="E13" s="1" t="s">
        <v>17</v>
      </c>
      <c r="F13" s="21"/>
      <c r="G13" s="22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23" t="s">
        <v>24</v>
      </c>
      <c r="B16" s="24"/>
      <c r="C16" s="24"/>
      <c r="D16" s="24"/>
      <c r="E16" s="24"/>
      <c r="F16" s="24"/>
      <c r="G16" s="24"/>
      <c r="H16" s="24"/>
      <c r="I16" s="24"/>
    </row>
    <row r="17" spans="1:9" x14ac:dyDescent="0.3">
      <c r="A17" s="1" t="s">
        <v>25</v>
      </c>
      <c r="B17" s="1" t="s">
        <v>26</v>
      </c>
      <c r="C17" s="3"/>
      <c r="D17" s="1" t="s">
        <v>27</v>
      </c>
      <c r="E17" s="3"/>
      <c r="F17" s="1" t="s">
        <v>28</v>
      </c>
      <c r="G17" s="3"/>
      <c r="H17" s="1" t="s">
        <v>29</v>
      </c>
      <c r="I17" s="4" t="str">
        <f>IF(AND(N(E17)&gt;0,N(G17)&gt;0),ROUND(PI()*POWER(E17,2)*G17/4,1),"")</f>
        <v/>
      </c>
    </row>
    <row r="18" spans="1:9" x14ac:dyDescent="0.3">
      <c r="A18" s="1" t="s">
        <v>30</v>
      </c>
      <c r="B18" s="1" t="s">
        <v>31</v>
      </c>
      <c r="C18" s="3"/>
      <c r="D18" s="1" t="s">
        <v>32</v>
      </c>
      <c r="E18" s="3"/>
      <c r="F18" s="1" t="s">
        <v>33</v>
      </c>
      <c r="G18" s="29"/>
      <c r="H18" s="30"/>
      <c r="I18" s="22"/>
    </row>
    <row r="19" spans="1:9" ht="6" customHeight="1" x14ac:dyDescent="0.3"/>
    <row r="20" spans="1:9" x14ac:dyDescent="0.3">
      <c r="A20" s="23" t="s">
        <v>34</v>
      </c>
      <c r="B20" s="24"/>
      <c r="C20" s="24"/>
      <c r="D20" s="24"/>
      <c r="E20" s="24"/>
      <c r="F20" s="24"/>
      <c r="G20" s="24"/>
      <c r="H20" s="24"/>
      <c r="I20" s="24"/>
    </row>
    <row r="21" spans="1:9" ht="16.05" customHeight="1" x14ac:dyDescent="0.3">
      <c r="A21" s="5" t="s">
        <v>35</v>
      </c>
      <c r="B21" s="14" t="s">
        <v>36</v>
      </c>
      <c r="C21" s="15"/>
      <c r="D21" s="14" t="s">
        <v>37</v>
      </c>
      <c r="E21" s="15"/>
      <c r="F21" s="14" t="s">
        <v>38</v>
      </c>
      <c r="G21" s="15"/>
      <c r="H21" s="14" t="s">
        <v>39</v>
      </c>
      <c r="I21" s="15"/>
    </row>
    <row r="22" spans="1:9" x14ac:dyDescent="0.3">
      <c r="A22" s="6" t="s">
        <v>40</v>
      </c>
      <c r="B22" s="8"/>
      <c r="C22" s="9"/>
      <c r="D22" s="8"/>
      <c r="E22" s="9"/>
      <c r="F22" s="8"/>
      <c r="G22" s="9"/>
      <c r="H22" s="8"/>
      <c r="I22" s="9"/>
    </row>
    <row r="23" spans="1:9" x14ac:dyDescent="0.3">
      <c r="A23" s="6" t="s">
        <v>41</v>
      </c>
      <c r="B23" s="8"/>
      <c r="C23" s="9"/>
      <c r="D23" s="8"/>
      <c r="E23" s="9"/>
      <c r="F23" s="8"/>
      <c r="G23" s="9"/>
      <c r="H23" s="8"/>
      <c r="I23" s="9"/>
    </row>
    <row r="24" spans="1:9" x14ac:dyDescent="0.3">
      <c r="A24" s="6" t="s">
        <v>42</v>
      </c>
      <c r="B24" s="8"/>
      <c r="C24" s="9"/>
      <c r="D24" s="8"/>
      <c r="E24" s="9"/>
      <c r="F24" s="8"/>
      <c r="G24" s="9"/>
      <c r="H24" s="8"/>
      <c r="I24" s="9"/>
    </row>
    <row r="25" spans="1:9" x14ac:dyDescent="0.3">
      <c r="A25" s="6" t="s">
        <v>43</v>
      </c>
      <c r="B25" s="10" t="str">
        <f>IF(COUNT(B22:B23)=2,B23-B22,"")</f>
        <v/>
      </c>
      <c r="C25" s="11"/>
      <c r="D25" s="10" t="str">
        <f>IF(COUNT(D22:D23)=2,D23-D22,"")</f>
        <v/>
      </c>
      <c r="E25" s="11"/>
      <c r="F25" s="10" t="str">
        <f>IF(COUNT(F22:F23)=2,F23-F22,"")</f>
        <v/>
      </c>
      <c r="G25" s="11"/>
      <c r="H25" s="10" t="str">
        <f>IF(COUNT(H22:H23)=2,H23-H22,"")</f>
        <v/>
      </c>
      <c r="I25" s="11"/>
    </row>
    <row r="26" spans="1:9" x14ac:dyDescent="0.3">
      <c r="A26" s="6" t="s">
        <v>44</v>
      </c>
      <c r="B26" s="10">
        <f>IF(N($I$17)&gt;0,$I$17,2124)</f>
        <v>2124</v>
      </c>
      <c r="C26" s="11"/>
      <c r="D26" s="10">
        <f>IF(N($I$17)&gt;0,$I$17,2124)</f>
        <v>2124</v>
      </c>
      <c r="E26" s="11"/>
      <c r="F26" s="10">
        <f>IF(N($I$17)&gt;0,$I$17,2124)</f>
        <v>2124</v>
      </c>
      <c r="G26" s="11"/>
      <c r="H26" s="10">
        <f>IF(N($I$17)&gt;0,$I$17,2124)</f>
        <v>2124</v>
      </c>
      <c r="I26" s="11"/>
    </row>
    <row r="27" spans="1:9" x14ac:dyDescent="0.3">
      <c r="A27" s="6" t="s">
        <v>45</v>
      </c>
      <c r="B27" s="16" t="str">
        <f>IF(AND(ISNUMBER(B25),N(B26)&gt;0),IFERROR(B25/B26,0),"")</f>
        <v/>
      </c>
      <c r="C27" s="11"/>
      <c r="D27" s="16" t="str">
        <f>IF(AND(ISNUMBER(D25),N(D26)&gt;0),IFERROR(D25/D26,0),"")</f>
        <v/>
      </c>
      <c r="E27" s="11"/>
      <c r="F27" s="16" t="str">
        <f>IF(AND(ISNUMBER(F25),N(F26)&gt;0),IFERROR(F25/F26,0),"")</f>
        <v/>
      </c>
      <c r="G27" s="11"/>
      <c r="H27" s="16" t="str">
        <f>IF(AND(ISNUMBER(H25),N(H26)&gt;0),IFERROR(H25/H26,0),"")</f>
        <v/>
      </c>
      <c r="I27" s="11"/>
    </row>
    <row r="28" spans="1:9" ht="6" customHeight="1" x14ac:dyDescent="0.3"/>
    <row r="30" spans="1:9" x14ac:dyDescent="0.3">
      <c r="A30" s="23" t="s">
        <v>46</v>
      </c>
      <c r="B30" s="24"/>
      <c r="C30" s="24"/>
      <c r="D30" s="24"/>
      <c r="E30" s="24"/>
      <c r="F30" s="24"/>
      <c r="G30" s="24"/>
      <c r="H30" s="24"/>
      <c r="I30" s="24"/>
    </row>
    <row r="31" spans="1:9" ht="16.05" customHeight="1" x14ac:dyDescent="0.3">
      <c r="A31" s="5" t="s">
        <v>35</v>
      </c>
      <c r="B31" s="14" t="s">
        <v>36</v>
      </c>
      <c r="C31" s="15"/>
      <c r="D31" s="14" t="s">
        <v>37</v>
      </c>
      <c r="E31" s="15"/>
      <c r="F31" s="14" t="s">
        <v>38</v>
      </c>
      <c r="G31" s="15"/>
      <c r="H31" s="14" t="s">
        <v>39</v>
      </c>
      <c r="I31" s="15"/>
    </row>
    <row r="32" spans="1:9" x14ac:dyDescent="0.3">
      <c r="A32" s="6" t="s">
        <v>47</v>
      </c>
      <c r="B32" s="9"/>
      <c r="C32" s="9"/>
      <c r="D32" s="9"/>
      <c r="E32" s="9"/>
      <c r="F32" s="9"/>
      <c r="G32" s="9"/>
      <c r="H32" s="9"/>
      <c r="I32" s="9"/>
    </row>
    <row r="33" spans="1:9" x14ac:dyDescent="0.3">
      <c r="A33" s="6" t="s">
        <v>48</v>
      </c>
      <c r="B33" s="8"/>
      <c r="C33" s="9"/>
      <c r="D33" s="8"/>
      <c r="E33" s="9"/>
      <c r="F33" s="8"/>
      <c r="G33" s="9"/>
      <c r="H33" s="8"/>
      <c r="I33" s="9"/>
    </row>
    <row r="34" spans="1:9" x14ac:dyDescent="0.3">
      <c r="A34" s="6" t="s">
        <v>49</v>
      </c>
      <c r="B34" s="8"/>
      <c r="C34" s="9"/>
      <c r="D34" s="8"/>
      <c r="E34" s="9"/>
      <c r="F34" s="8"/>
      <c r="G34" s="9"/>
      <c r="H34" s="8"/>
      <c r="I34" s="9"/>
    </row>
    <row r="35" spans="1:9" x14ac:dyDescent="0.3">
      <c r="A35" s="6" t="s">
        <v>50</v>
      </c>
      <c r="B35" s="8"/>
      <c r="C35" s="9"/>
      <c r="D35" s="8"/>
      <c r="E35" s="9"/>
      <c r="F35" s="8"/>
      <c r="G35" s="9"/>
      <c r="H35" s="8"/>
      <c r="I35" s="9"/>
    </row>
    <row r="36" spans="1:9" x14ac:dyDescent="0.3">
      <c r="A36" s="6" t="s">
        <v>51</v>
      </c>
      <c r="B36" s="10" t="str">
        <f>IF(COUNT(B34:B35)=2,B34-B35,"")</f>
        <v/>
      </c>
      <c r="C36" s="11"/>
      <c r="D36" s="10" t="str">
        <f>IF(COUNT(D34:D35)=2,D34-D35,"")</f>
        <v/>
      </c>
      <c r="E36" s="11"/>
      <c r="F36" s="10" t="str">
        <f>IF(COUNT(F34:F35)=2,F34-F35,"")</f>
        <v/>
      </c>
      <c r="G36" s="11"/>
      <c r="H36" s="10" t="str">
        <f>IF(COUNT(H34:H35)=2,H34-H35,"")</f>
        <v/>
      </c>
      <c r="I36" s="11"/>
    </row>
    <row r="37" spans="1:9" x14ac:dyDescent="0.3">
      <c r="A37" s="6" t="s">
        <v>52</v>
      </c>
      <c r="B37" s="10" t="str">
        <f>IF(COUNT(B33,B35)=2,B35-B33,"")</f>
        <v/>
      </c>
      <c r="C37" s="11"/>
      <c r="D37" s="10" t="str">
        <f>IF(COUNT(D33,D35)=2,D35-D33,"")</f>
        <v/>
      </c>
      <c r="E37" s="11"/>
      <c r="F37" s="10" t="str">
        <f>IF(COUNT(F33,F35)=2,F35-F33,"")</f>
        <v/>
      </c>
      <c r="G37" s="11"/>
      <c r="H37" s="10" t="str">
        <f>IF(COUNT(H33,H35)=2,H35-H33,"")</f>
        <v/>
      </c>
      <c r="I37" s="11"/>
    </row>
    <row r="38" spans="1:9" x14ac:dyDescent="0.3">
      <c r="A38" s="6" t="s">
        <v>53</v>
      </c>
      <c r="B38" s="10" t="str">
        <f>IF(AND(ISNUMBER(B37),N(B37)&gt;0),IFERROR(B36/B37*100,0),"")</f>
        <v/>
      </c>
      <c r="C38" s="11"/>
      <c r="D38" s="10" t="str">
        <f>IF(AND(ISNUMBER(D37),N(D37)&gt;0),IFERROR(D36/D37*100,0),"")</f>
        <v/>
      </c>
      <c r="E38" s="11"/>
      <c r="F38" s="10" t="str">
        <f>IF(AND(ISNUMBER(F37),N(F37)&gt;0),IFERROR(F36/F37*100,0),"")</f>
        <v/>
      </c>
      <c r="G38" s="11"/>
      <c r="H38" s="10" t="str">
        <f>IF(AND(ISNUMBER(H37),N(H37)&gt;0),IFERROR(H36/H37*100,0),"")</f>
        <v/>
      </c>
      <c r="I38" s="11"/>
    </row>
    <row r="39" spans="1:9" x14ac:dyDescent="0.3">
      <c r="A39" s="6" t="s">
        <v>54</v>
      </c>
      <c r="B39" s="16" t="str">
        <f>IF(AND(ISNUMBER(B38),ISNUMBER(B27)),IFERROR(B27/(1+B38/100),0),"")</f>
        <v/>
      </c>
      <c r="C39" s="11"/>
      <c r="D39" s="16" t="str">
        <f>IF(AND(ISNUMBER(D38),ISNUMBER(D27)),IFERROR(D27/(1+D38/100),0),"")</f>
        <v/>
      </c>
      <c r="E39" s="11"/>
      <c r="F39" s="16" t="str">
        <f>IF(AND(ISNUMBER(F38),ISNUMBER(F27)),IFERROR(F27/(1+F38/100),0),"")</f>
        <v/>
      </c>
      <c r="G39" s="11"/>
      <c r="H39" s="16" t="str">
        <f>IF(AND(ISNUMBER(H38),ISNUMBER(H27)),IFERROR(H27/(1+H38/100),0),"")</f>
        <v/>
      </c>
      <c r="I39" s="11"/>
    </row>
    <row r="41" spans="1:9" x14ac:dyDescent="0.3">
      <c r="A41" s="1" t="s">
        <v>55</v>
      </c>
      <c r="B41" s="27" t="str">
        <f>IF(ISNUMBER(_DATOS!$F$5),_DATOS!$F$5,"")</f>
        <v/>
      </c>
      <c r="C41" s="19"/>
      <c r="D41" s="19"/>
      <c r="E41" s="19"/>
      <c r="F41" s="19"/>
      <c r="G41" s="19"/>
      <c r="H41" s="19"/>
      <c r="I41" s="19"/>
    </row>
    <row r="42" spans="1:9" x14ac:dyDescent="0.3">
      <c r="A42" s="1" t="s">
        <v>56</v>
      </c>
      <c r="B42" s="34" t="str">
        <f>IF(ISNUMBER(_DATOS!$F$4),_DATOS!$F$4,"")</f>
        <v/>
      </c>
      <c r="C42" s="19"/>
      <c r="D42" s="19"/>
      <c r="E42" s="19"/>
      <c r="F42" s="19"/>
      <c r="G42" s="19"/>
      <c r="H42" s="19"/>
      <c r="I42" s="19"/>
    </row>
    <row r="43" spans="1:9" ht="6" customHeight="1" x14ac:dyDescent="0.3"/>
    <row r="45" spans="1:9" x14ac:dyDescent="0.3">
      <c r="A45" s="23" t="s">
        <v>57</v>
      </c>
      <c r="B45" s="24"/>
      <c r="C45" s="24"/>
      <c r="D45" s="24"/>
      <c r="E45" s="24"/>
      <c r="F45" s="24"/>
      <c r="G45" s="24"/>
      <c r="H45" s="24"/>
      <c r="I45" s="24"/>
    </row>
    <row r="76" spans="1:9" x14ac:dyDescent="0.3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3">
      <c r="A77" s="20" t="s">
        <v>58</v>
      </c>
      <c r="B77" s="13"/>
      <c r="C77" s="13"/>
      <c r="D77" s="20" t="s">
        <v>59</v>
      </c>
      <c r="E77" s="13"/>
      <c r="F77" s="13"/>
      <c r="G77" s="20" t="s">
        <v>60</v>
      </c>
      <c r="H77" s="13"/>
      <c r="I77" s="13"/>
    </row>
  </sheetData>
  <mergeCells count="88">
    <mergeCell ref="C1:G1"/>
    <mergeCell ref="B23:C23"/>
    <mergeCell ref="B42:I42"/>
    <mergeCell ref="D32:E32"/>
    <mergeCell ref="F32:G32"/>
    <mergeCell ref="F26:G26"/>
    <mergeCell ref="A20:I20"/>
    <mergeCell ref="F35:G35"/>
    <mergeCell ref="F38:G38"/>
    <mergeCell ref="H32:I32"/>
    <mergeCell ref="F27:G27"/>
    <mergeCell ref="H27:I27"/>
    <mergeCell ref="F37:G37"/>
    <mergeCell ref="H24:I24"/>
    <mergeCell ref="H33:I33"/>
    <mergeCell ref="B36:C36"/>
    <mergeCell ref="D77:F77"/>
    <mergeCell ref="A16:I16"/>
    <mergeCell ref="A8"/>
    <mergeCell ref="C6:G6"/>
    <mergeCell ref="G18:I18"/>
    <mergeCell ref="D21:E21"/>
    <mergeCell ref="B39:C39"/>
    <mergeCell ref="F24:G24"/>
    <mergeCell ref="G77:I77"/>
    <mergeCell ref="C13:D13"/>
    <mergeCell ref="H26:I26"/>
    <mergeCell ref="C2:G2"/>
    <mergeCell ref="B34:C34"/>
    <mergeCell ref="F22:G22"/>
    <mergeCell ref="G12:I12"/>
    <mergeCell ref="H22:I22"/>
    <mergeCell ref="D25:E25"/>
    <mergeCell ref="B12:D12"/>
    <mergeCell ref="C3:G3"/>
    <mergeCell ref="A45:I45"/>
    <mergeCell ref="B41:I41"/>
    <mergeCell ref="H38:I38"/>
    <mergeCell ref="H31:I31"/>
    <mergeCell ref="F21:G21"/>
    <mergeCell ref="H21:I21"/>
    <mergeCell ref="D27:E27"/>
    <mergeCell ref="F36:G36"/>
    <mergeCell ref="B37:C37"/>
    <mergeCell ref="D37:E37"/>
    <mergeCell ref="F31:G31"/>
    <mergeCell ref="D39:E39"/>
    <mergeCell ref="F39:G39"/>
    <mergeCell ref="D38:E38"/>
    <mergeCell ref="A77:C77"/>
    <mergeCell ref="F13:G13"/>
    <mergeCell ref="A30:I30"/>
    <mergeCell ref="B24:C24"/>
    <mergeCell ref="D24:E24"/>
    <mergeCell ref="B33:C33"/>
    <mergeCell ref="D33:E33"/>
    <mergeCell ref="H23:I23"/>
    <mergeCell ref="B32:C32"/>
    <mergeCell ref="B26:C26"/>
    <mergeCell ref="D26:E26"/>
    <mergeCell ref="B35:C35"/>
    <mergeCell ref="D35:E35"/>
    <mergeCell ref="B25:C25"/>
    <mergeCell ref="D34:E34"/>
    <mergeCell ref="F34:G34"/>
    <mergeCell ref="D36:E36"/>
    <mergeCell ref="D31:E31"/>
    <mergeCell ref="H39:I39"/>
    <mergeCell ref="C4:G4"/>
    <mergeCell ref="B21:C21"/>
    <mergeCell ref="B8:I8"/>
    <mergeCell ref="B38:C38"/>
    <mergeCell ref="F23:G23"/>
    <mergeCell ref="B10:I10"/>
    <mergeCell ref="H37:I37"/>
    <mergeCell ref="E12:F12"/>
    <mergeCell ref="B27:C27"/>
    <mergeCell ref="H25:I25"/>
    <mergeCell ref="H34:I34"/>
    <mergeCell ref="F33:G33"/>
    <mergeCell ref="H36:I36"/>
    <mergeCell ref="H35:I35"/>
    <mergeCell ref="F25:G25"/>
    <mergeCell ref="C5:G5"/>
    <mergeCell ref="B22:C22"/>
    <mergeCell ref="D22:E22"/>
    <mergeCell ref="B31:C31"/>
    <mergeCell ref="D23:E23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03"/>
  <sheetViews>
    <sheetView workbookViewId="0"/>
  </sheetViews>
  <sheetFormatPr baseColWidth="10" defaultColWidth="8.88671875" defaultRowHeight="14.4" x14ac:dyDescent="0.3"/>
  <sheetData>
    <row r="1" spans="1:12" x14ac:dyDescent="0.3">
      <c r="F1" t="str">
        <f>IFERROR(INDEX(LINEST(B3:B6,A3:A6^{1,2,3}),1,1),"")</f>
        <v/>
      </c>
      <c r="G1" t="str">
        <f>IFERROR(INDEX(LINEST(B3:B6,A3:A6^{1,2,3}),1,4),"")</f>
        <v/>
      </c>
    </row>
    <row r="2" spans="1:12" x14ac:dyDescent="0.3">
      <c r="F2" t="str">
        <f>IFERROR(INDEX(LINEST(B3:B6,A3:A6^{1,2,3}),1,2),"")</f>
        <v/>
      </c>
      <c r="G2" t="e">
        <f>IF(COUNT(A3:A6)&lt;4,NA(),MIN(A3:A6)-0.05*(MAX(A3:A6)-MIN(A3:A6)))</f>
        <v>#N/A</v>
      </c>
    </row>
    <row r="3" spans="1:12" x14ac:dyDescent="0.3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IFERROR(INDEX(LINEST(B3:B6,A3:A6^{1,2,3}),1,3),"")</f>
        <v/>
      </c>
      <c r="G3" t="e">
        <f>IF(NOT(ISNUMBER(G2)),NA(),((MAX(A3:A6)+0.05*(MAX(A3:A6)-MIN(A3:A6)))-G2)/200)</f>
        <v>#N/A</v>
      </c>
      <c r="H3" t="str">
        <f t="shared" ref="H3:H66" si="0">IF(OR(COUNT($A$3:$A$6)&lt;4,NOT(ISNUMBER($G$2))),"",$G$2+(ROW()-3)*$G$3)</f>
        <v/>
      </c>
      <c r="I3" t="str">
        <f t="shared" ref="I3:I66" si="1">IF(H3="","",$F$1*H3^3+$F$2*H3^2+$F$3*H3+$G$1)</f>
        <v/>
      </c>
      <c r="K3" t="e">
        <f>IF(ISNUMBER($F$4),$F$4,NA())</f>
        <v>#N/A</v>
      </c>
      <c r="L3" t="e">
        <f>IF(ISNUMBER($F$5),$F$5,NA())</f>
        <v>#N/A</v>
      </c>
    </row>
    <row r="4" spans="1:12" x14ac:dyDescent="0.3">
      <c r="A4" t="e">
        <f>IF(OR(NOT(ISNUMBER(Reporte!D38)),NOT(ISNUMBER(Reporte!D39)),Reporte!D39=0),NA(),Reporte!D38)</f>
        <v>#N/A</v>
      </c>
      <c r="B4" t="e">
        <f>IF(ISNA(A4),NA(),Reporte!D39)</f>
        <v>#N/A</v>
      </c>
      <c r="F4" t="str">
        <f>IF(COUNT($A$3:$A$6)&gt;=4,IFERROR(INDEX($H$3:$H$203,MATCH(MAX($I$3:$I$203),$I$3:$I$203,0)),""),IF(ISNUMBER($F$11),$F$11,""))</f>
        <v/>
      </c>
      <c r="H4" t="str">
        <f t="shared" si="0"/>
        <v/>
      </c>
      <c r="I4" t="str">
        <f t="shared" si="1"/>
        <v/>
      </c>
    </row>
    <row r="5" spans="1:12" x14ac:dyDescent="0.3">
      <c r="A5" t="e">
        <f>IF(OR(NOT(ISNUMBER(Reporte!F38)),NOT(ISNUMBER(Reporte!F39)),Reporte!F39=0),NA(),Reporte!F38)</f>
        <v>#N/A</v>
      </c>
      <c r="B5" t="e">
        <f>IF(ISNA(A5),NA(),Reporte!F39)</f>
        <v>#N/A</v>
      </c>
      <c r="F5" t="str">
        <f>IF(COUNT($A$3:$A$6)&gt;=4,IFERROR(MAX($I$3:$I$203),""),IF(ISNUMBER($F$12),$F$12,""))</f>
        <v/>
      </c>
      <c r="H5" t="str">
        <f t="shared" si="0"/>
        <v/>
      </c>
      <c r="I5" t="str">
        <f t="shared" si="1"/>
        <v/>
      </c>
    </row>
    <row r="6" spans="1:12" x14ac:dyDescent="0.3">
      <c r="A6" t="e">
        <f>IF(OR(NOT(ISNUMBER(Reporte!H38)),NOT(ISNUMBER(Reporte!H39)),Reporte!H39=0),NA(),Reporte!H38)</f>
        <v>#N/A</v>
      </c>
      <c r="B6" t="e">
        <f>IF(ISNA(A6),NA(),Reporte!H39)</f>
        <v>#N/A</v>
      </c>
      <c r="H6" t="str">
        <f t="shared" si="0"/>
        <v/>
      </c>
      <c r="I6" t="str">
        <f t="shared" si="1"/>
        <v/>
      </c>
    </row>
    <row r="7" spans="1:12" x14ac:dyDescent="0.3">
      <c r="H7" t="str">
        <f t="shared" si="0"/>
        <v/>
      </c>
      <c r="I7" t="str">
        <f t="shared" si="1"/>
        <v/>
      </c>
    </row>
    <row r="8" spans="1:12" x14ac:dyDescent="0.3">
      <c r="F8" t="str">
        <f>IFERROR(INDEX(LINEST(B3:B6,A3:A6^{1,2}),1,1),"")</f>
        <v/>
      </c>
      <c r="H8" t="str">
        <f t="shared" si="0"/>
        <v/>
      </c>
      <c r="I8" t="str">
        <f t="shared" si="1"/>
        <v/>
      </c>
    </row>
    <row r="9" spans="1:12" x14ac:dyDescent="0.3">
      <c r="F9" t="str">
        <f>IFERROR(INDEX(LINEST(B3:B6,A3:A6^{1,2}),1,2),"")</f>
        <v/>
      </c>
      <c r="H9" t="str">
        <f t="shared" si="0"/>
        <v/>
      </c>
      <c r="I9" t="str">
        <f t="shared" si="1"/>
        <v/>
      </c>
    </row>
    <row r="10" spans="1:12" x14ac:dyDescent="0.3">
      <c r="F10" t="str">
        <f>IFERROR(INDEX(LINEST(B3:B6,A3:A6^{1,2}),1,3),"")</f>
        <v/>
      </c>
      <c r="H10" t="str">
        <f t="shared" si="0"/>
        <v/>
      </c>
      <c r="I10" t="str">
        <f t="shared" si="1"/>
        <v/>
      </c>
    </row>
    <row r="11" spans="1:12" x14ac:dyDescent="0.3">
      <c r="F11" t="str">
        <f>IF(AND(ISNUMBER(F8),N(F8)&lt;&gt;0),-F9/(2*F8),"")</f>
        <v/>
      </c>
      <c r="H11" t="str">
        <f t="shared" si="0"/>
        <v/>
      </c>
      <c r="I11" t="str">
        <f t="shared" si="1"/>
        <v/>
      </c>
    </row>
    <row r="12" spans="1:12" x14ac:dyDescent="0.3">
      <c r="F12" t="str">
        <f>IF(ISNUMBER(F11),F8*F11^2+F9*F11+F10,"")</f>
        <v/>
      </c>
      <c r="H12" t="str">
        <f t="shared" si="0"/>
        <v/>
      </c>
      <c r="I12" t="str">
        <f t="shared" si="1"/>
        <v/>
      </c>
    </row>
    <row r="13" spans="1:12" x14ac:dyDescent="0.3">
      <c r="H13" t="str">
        <f t="shared" si="0"/>
        <v/>
      </c>
      <c r="I13" t="str">
        <f t="shared" si="1"/>
        <v/>
      </c>
    </row>
    <row r="14" spans="1:12" x14ac:dyDescent="0.3">
      <c r="H14" t="str">
        <f t="shared" si="0"/>
        <v/>
      </c>
      <c r="I14" t="str">
        <f t="shared" si="1"/>
        <v/>
      </c>
    </row>
    <row r="15" spans="1:12" x14ac:dyDescent="0.3">
      <c r="H15" t="str">
        <f t="shared" si="0"/>
        <v/>
      </c>
      <c r="I15" t="str">
        <f t="shared" si="1"/>
        <v/>
      </c>
    </row>
    <row r="16" spans="1:12" x14ac:dyDescent="0.3">
      <c r="H16" t="str">
        <f t="shared" si="0"/>
        <v/>
      </c>
      <c r="I16" t="str">
        <f t="shared" si="1"/>
        <v/>
      </c>
    </row>
    <row r="17" spans="8:9" x14ac:dyDescent="0.3">
      <c r="H17" t="str">
        <f t="shared" si="0"/>
        <v/>
      </c>
      <c r="I17" t="str">
        <f t="shared" si="1"/>
        <v/>
      </c>
    </row>
    <row r="18" spans="8:9" x14ac:dyDescent="0.3">
      <c r="H18" t="str">
        <f t="shared" si="0"/>
        <v/>
      </c>
      <c r="I18" t="str">
        <f t="shared" si="1"/>
        <v/>
      </c>
    </row>
    <row r="19" spans="8:9" x14ac:dyDescent="0.3">
      <c r="H19" t="str">
        <f t="shared" si="0"/>
        <v/>
      </c>
      <c r="I19" t="str">
        <f t="shared" si="1"/>
        <v/>
      </c>
    </row>
    <row r="20" spans="8:9" x14ac:dyDescent="0.3">
      <c r="H20" t="str">
        <f t="shared" si="0"/>
        <v/>
      </c>
      <c r="I20" t="str">
        <f t="shared" si="1"/>
        <v/>
      </c>
    </row>
    <row r="21" spans="8:9" x14ac:dyDescent="0.3">
      <c r="H21" t="str">
        <f t="shared" si="0"/>
        <v/>
      </c>
      <c r="I21" t="str">
        <f t="shared" si="1"/>
        <v/>
      </c>
    </row>
    <row r="22" spans="8:9" x14ac:dyDescent="0.3">
      <c r="H22" t="str">
        <f t="shared" si="0"/>
        <v/>
      </c>
      <c r="I22" t="str">
        <f t="shared" si="1"/>
        <v/>
      </c>
    </row>
    <row r="23" spans="8:9" x14ac:dyDescent="0.3">
      <c r="H23" t="str">
        <f t="shared" si="0"/>
        <v/>
      </c>
      <c r="I23" t="str">
        <f t="shared" si="1"/>
        <v/>
      </c>
    </row>
    <row r="24" spans="8:9" x14ac:dyDescent="0.3">
      <c r="H24" t="str">
        <f t="shared" si="0"/>
        <v/>
      </c>
      <c r="I24" t="str">
        <f t="shared" si="1"/>
        <v/>
      </c>
    </row>
    <row r="25" spans="8:9" x14ac:dyDescent="0.3">
      <c r="H25" t="str">
        <f t="shared" si="0"/>
        <v/>
      </c>
      <c r="I25" t="str">
        <f t="shared" si="1"/>
        <v/>
      </c>
    </row>
    <row r="26" spans="8:9" x14ac:dyDescent="0.3">
      <c r="H26" t="str">
        <f t="shared" si="0"/>
        <v/>
      </c>
      <c r="I26" t="str">
        <f t="shared" si="1"/>
        <v/>
      </c>
    </row>
    <row r="27" spans="8:9" x14ac:dyDescent="0.3">
      <c r="H27" t="str">
        <f t="shared" si="0"/>
        <v/>
      </c>
      <c r="I27" t="str">
        <f t="shared" si="1"/>
        <v/>
      </c>
    </row>
    <row r="28" spans="8:9" x14ac:dyDescent="0.3">
      <c r="H28" t="str">
        <f t="shared" si="0"/>
        <v/>
      </c>
      <c r="I28" t="str">
        <f t="shared" si="1"/>
        <v/>
      </c>
    </row>
    <row r="29" spans="8:9" x14ac:dyDescent="0.3">
      <c r="H29" t="str">
        <f t="shared" si="0"/>
        <v/>
      </c>
      <c r="I29" t="str">
        <f t="shared" si="1"/>
        <v/>
      </c>
    </row>
    <row r="30" spans="8:9" x14ac:dyDescent="0.3">
      <c r="H30" t="str">
        <f t="shared" si="0"/>
        <v/>
      </c>
      <c r="I30" t="str">
        <f t="shared" si="1"/>
        <v/>
      </c>
    </row>
    <row r="31" spans="8:9" x14ac:dyDescent="0.3">
      <c r="H31" t="str">
        <f t="shared" si="0"/>
        <v/>
      </c>
      <c r="I31" t="str">
        <f t="shared" si="1"/>
        <v/>
      </c>
    </row>
    <row r="32" spans="8:9" x14ac:dyDescent="0.3">
      <c r="H32" t="str">
        <f t="shared" si="0"/>
        <v/>
      </c>
      <c r="I32" t="str">
        <f t="shared" si="1"/>
        <v/>
      </c>
    </row>
    <row r="33" spans="8:9" x14ac:dyDescent="0.3">
      <c r="H33" t="str">
        <f t="shared" si="0"/>
        <v/>
      </c>
      <c r="I33" t="str">
        <f t="shared" si="1"/>
        <v/>
      </c>
    </row>
    <row r="34" spans="8:9" x14ac:dyDescent="0.3">
      <c r="H34" t="str">
        <f t="shared" si="0"/>
        <v/>
      </c>
      <c r="I34" t="str">
        <f t="shared" si="1"/>
        <v/>
      </c>
    </row>
    <row r="35" spans="8:9" x14ac:dyDescent="0.3">
      <c r="H35" t="str">
        <f t="shared" si="0"/>
        <v/>
      </c>
      <c r="I35" t="str">
        <f t="shared" si="1"/>
        <v/>
      </c>
    </row>
    <row r="36" spans="8:9" x14ac:dyDescent="0.3">
      <c r="H36" t="str">
        <f t="shared" si="0"/>
        <v/>
      </c>
      <c r="I36" t="str">
        <f t="shared" si="1"/>
        <v/>
      </c>
    </row>
    <row r="37" spans="8:9" x14ac:dyDescent="0.3">
      <c r="H37" t="str">
        <f t="shared" si="0"/>
        <v/>
      </c>
      <c r="I37" t="str">
        <f t="shared" si="1"/>
        <v/>
      </c>
    </row>
    <row r="38" spans="8:9" x14ac:dyDescent="0.3">
      <c r="H38" t="str">
        <f t="shared" si="0"/>
        <v/>
      </c>
      <c r="I38" t="str">
        <f t="shared" si="1"/>
        <v/>
      </c>
    </row>
    <row r="39" spans="8:9" x14ac:dyDescent="0.3">
      <c r="H39" t="str">
        <f t="shared" si="0"/>
        <v/>
      </c>
      <c r="I39" t="str">
        <f t="shared" si="1"/>
        <v/>
      </c>
    </row>
    <row r="40" spans="8:9" x14ac:dyDescent="0.3">
      <c r="H40" t="str">
        <f t="shared" si="0"/>
        <v/>
      </c>
      <c r="I40" t="str">
        <f t="shared" si="1"/>
        <v/>
      </c>
    </row>
    <row r="41" spans="8:9" x14ac:dyDescent="0.3">
      <c r="H41" t="str">
        <f t="shared" si="0"/>
        <v/>
      </c>
      <c r="I41" t="str">
        <f t="shared" si="1"/>
        <v/>
      </c>
    </row>
    <row r="42" spans="8:9" x14ac:dyDescent="0.3">
      <c r="H42" t="str">
        <f t="shared" si="0"/>
        <v/>
      </c>
      <c r="I42" t="str">
        <f t="shared" si="1"/>
        <v/>
      </c>
    </row>
    <row r="43" spans="8:9" x14ac:dyDescent="0.3">
      <c r="H43" t="str">
        <f t="shared" si="0"/>
        <v/>
      </c>
      <c r="I43" t="str">
        <f t="shared" si="1"/>
        <v/>
      </c>
    </row>
    <row r="44" spans="8:9" x14ac:dyDescent="0.3">
      <c r="H44" t="str">
        <f t="shared" si="0"/>
        <v/>
      </c>
      <c r="I44" t="str">
        <f t="shared" si="1"/>
        <v/>
      </c>
    </row>
    <row r="45" spans="8:9" x14ac:dyDescent="0.3">
      <c r="H45" t="str">
        <f t="shared" si="0"/>
        <v/>
      </c>
      <c r="I45" t="str">
        <f t="shared" si="1"/>
        <v/>
      </c>
    </row>
    <row r="46" spans="8:9" x14ac:dyDescent="0.3">
      <c r="H46" t="str">
        <f t="shared" si="0"/>
        <v/>
      </c>
      <c r="I46" t="str">
        <f t="shared" si="1"/>
        <v/>
      </c>
    </row>
    <row r="47" spans="8:9" x14ac:dyDescent="0.3">
      <c r="H47" t="str">
        <f t="shared" si="0"/>
        <v/>
      </c>
      <c r="I47" t="str">
        <f t="shared" si="1"/>
        <v/>
      </c>
    </row>
    <row r="48" spans="8:9" x14ac:dyDescent="0.3">
      <c r="H48" t="str">
        <f t="shared" si="0"/>
        <v/>
      </c>
      <c r="I48" t="str">
        <f t="shared" si="1"/>
        <v/>
      </c>
    </row>
    <row r="49" spans="8:9" x14ac:dyDescent="0.3">
      <c r="H49" t="str">
        <f t="shared" si="0"/>
        <v/>
      </c>
      <c r="I49" t="str">
        <f t="shared" si="1"/>
        <v/>
      </c>
    </row>
    <row r="50" spans="8:9" x14ac:dyDescent="0.3">
      <c r="H50" t="str">
        <f t="shared" si="0"/>
        <v/>
      </c>
      <c r="I50" t="str">
        <f t="shared" si="1"/>
        <v/>
      </c>
    </row>
    <row r="51" spans="8:9" x14ac:dyDescent="0.3">
      <c r="H51" t="str">
        <f t="shared" si="0"/>
        <v/>
      </c>
      <c r="I51" t="str">
        <f t="shared" si="1"/>
        <v/>
      </c>
    </row>
    <row r="52" spans="8:9" x14ac:dyDescent="0.3">
      <c r="H52" t="str">
        <f t="shared" si="0"/>
        <v/>
      </c>
      <c r="I52" t="str">
        <f t="shared" si="1"/>
        <v/>
      </c>
    </row>
    <row r="53" spans="8:9" x14ac:dyDescent="0.3">
      <c r="H53" t="str">
        <f t="shared" si="0"/>
        <v/>
      </c>
      <c r="I53" t="str">
        <f t="shared" si="1"/>
        <v/>
      </c>
    </row>
    <row r="54" spans="8:9" x14ac:dyDescent="0.3">
      <c r="H54" t="str">
        <f t="shared" si="0"/>
        <v/>
      </c>
      <c r="I54" t="str">
        <f t="shared" si="1"/>
        <v/>
      </c>
    </row>
    <row r="55" spans="8:9" x14ac:dyDescent="0.3">
      <c r="H55" t="str">
        <f t="shared" si="0"/>
        <v/>
      </c>
      <c r="I55" t="str">
        <f t="shared" si="1"/>
        <v/>
      </c>
    </row>
    <row r="56" spans="8:9" x14ac:dyDescent="0.3">
      <c r="H56" t="str">
        <f t="shared" si="0"/>
        <v/>
      </c>
      <c r="I56" t="str">
        <f t="shared" si="1"/>
        <v/>
      </c>
    </row>
    <row r="57" spans="8:9" x14ac:dyDescent="0.3">
      <c r="H57" t="str">
        <f t="shared" si="0"/>
        <v/>
      </c>
      <c r="I57" t="str">
        <f t="shared" si="1"/>
        <v/>
      </c>
    </row>
    <row r="58" spans="8:9" x14ac:dyDescent="0.3">
      <c r="H58" t="str">
        <f t="shared" si="0"/>
        <v/>
      </c>
      <c r="I58" t="str">
        <f t="shared" si="1"/>
        <v/>
      </c>
    </row>
    <row r="59" spans="8:9" x14ac:dyDescent="0.3">
      <c r="H59" t="str">
        <f t="shared" si="0"/>
        <v/>
      </c>
      <c r="I59" t="str">
        <f t="shared" si="1"/>
        <v/>
      </c>
    </row>
    <row r="60" spans="8:9" x14ac:dyDescent="0.3">
      <c r="H60" t="str">
        <f t="shared" si="0"/>
        <v/>
      </c>
      <c r="I60" t="str">
        <f t="shared" si="1"/>
        <v/>
      </c>
    </row>
    <row r="61" spans="8:9" x14ac:dyDescent="0.3">
      <c r="H61" t="str">
        <f t="shared" si="0"/>
        <v/>
      </c>
      <c r="I61" t="str">
        <f t="shared" si="1"/>
        <v/>
      </c>
    </row>
    <row r="62" spans="8:9" x14ac:dyDescent="0.3">
      <c r="H62" t="str">
        <f t="shared" si="0"/>
        <v/>
      </c>
      <c r="I62" t="str">
        <f t="shared" si="1"/>
        <v/>
      </c>
    </row>
    <row r="63" spans="8:9" x14ac:dyDescent="0.3">
      <c r="H63" t="str">
        <f t="shared" si="0"/>
        <v/>
      </c>
      <c r="I63" t="str">
        <f t="shared" si="1"/>
        <v/>
      </c>
    </row>
    <row r="64" spans="8:9" x14ac:dyDescent="0.3">
      <c r="H64" t="str">
        <f t="shared" si="0"/>
        <v/>
      </c>
      <c r="I64" t="str">
        <f t="shared" si="1"/>
        <v/>
      </c>
    </row>
    <row r="65" spans="8:9" x14ac:dyDescent="0.3">
      <c r="H65" t="str">
        <f t="shared" si="0"/>
        <v/>
      </c>
      <c r="I65" t="str">
        <f t="shared" si="1"/>
        <v/>
      </c>
    </row>
    <row r="66" spans="8:9" x14ac:dyDescent="0.3">
      <c r="H66" t="str">
        <f t="shared" si="0"/>
        <v/>
      </c>
      <c r="I66" t="str">
        <f t="shared" si="1"/>
        <v/>
      </c>
    </row>
    <row r="67" spans="8:9" x14ac:dyDescent="0.3">
      <c r="H67" t="str">
        <f t="shared" ref="H67:H130" si="2">IF(OR(COUNT($A$3:$A$6)&lt;4,NOT(ISNUMBER($G$2))),"",$G$2+(ROW()-3)*$G$3)</f>
        <v/>
      </c>
      <c r="I67" t="str">
        <f t="shared" ref="I67:I130" si="3">IF(H67="","",$F$1*H67^3+$F$2*H67^2+$F$3*H67+$G$1)</f>
        <v/>
      </c>
    </row>
    <row r="68" spans="8:9" x14ac:dyDescent="0.3">
      <c r="H68" t="str">
        <f t="shared" si="2"/>
        <v/>
      </c>
      <c r="I68" t="str">
        <f t="shared" si="3"/>
        <v/>
      </c>
    </row>
    <row r="69" spans="8:9" x14ac:dyDescent="0.3">
      <c r="H69" t="str">
        <f t="shared" si="2"/>
        <v/>
      </c>
      <c r="I69" t="str">
        <f t="shared" si="3"/>
        <v/>
      </c>
    </row>
    <row r="70" spans="8:9" x14ac:dyDescent="0.3">
      <c r="H70" t="str">
        <f t="shared" si="2"/>
        <v/>
      </c>
      <c r="I70" t="str">
        <f t="shared" si="3"/>
        <v/>
      </c>
    </row>
    <row r="71" spans="8:9" x14ac:dyDescent="0.3">
      <c r="H71" t="str">
        <f t="shared" si="2"/>
        <v/>
      </c>
      <c r="I71" t="str">
        <f t="shared" si="3"/>
        <v/>
      </c>
    </row>
    <row r="72" spans="8:9" x14ac:dyDescent="0.3">
      <c r="H72" t="str">
        <f t="shared" si="2"/>
        <v/>
      </c>
      <c r="I72" t="str">
        <f t="shared" si="3"/>
        <v/>
      </c>
    </row>
    <row r="73" spans="8:9" x14ac:dyDescent="0.3">
      <c r="H73" t="str">
        <f t="shared" si="2"/>
        <v/>
      </c>
      <c r="I73" t="str">
        <f t="shared" si="3"/>
        <v/>
      </c>
    </row>
    <row r="74" spans="8:9" x14ac:dyDescent="0.3">
      <c r="H74" t="str">
        <f t="shared" si="2"/>
        <v/>
      </c>
      <c r="I74" t="str">
        <f t="shared" si="3"/>
        <v/>
      </c>
    </row>
    <row r="75" spans="8:9" x14ac:dyDescent="0.3">
      <c r="H75" t="str">
        <f t="shared" si="2"/>
        <v/>
      </c>
      <c r="I75" t="str">
        <f t="shared" si="3"/>
        <v/>
      </c>
    </row>
    <row r="76" spans="8:9" x14ac:dyDescent="0.3">
      <c r="H76" t="str">
        <f t="shared" si="2"/>
        <v/>
      </c>
      <c r="I76" t="str">
        <f t="shared" si="3"/>
        <v/>
      </c>
    </row>
    <row r="77" spans="8:9" x14ac:dyDescent="0.3">
      <c r="H77" t="str">
        <f t="shared" si="2"/>
        <v/>
      </c>
      <c r="I77" t="str">
        <f t="shared" si="3"/>
        <v/>
      </c>
    </row>
    <row r="78" spans="8:9" x14ac:dyDescent="0.3">
      <c r="H78" t="str">
        <f t="shared" si="2"/>
        <v/>
      </c>
      <c r="I78" t="str">
        <f t="shared" si="3"/>
        <v/>
      </c>
    </row>
    <row r="79" spans="8:9" x14ac:dyDescent="0.3">
      <c r="H79" t="str">
        <f t="shared" si="2"/>
        <v/>
      </c>
      <c r="I79" t="str">
        <f t="shared" si="3"/>
        <v/>
      </c>
    </row>
    <row r="80" spans="8:9" x14ac:dyDescent="0.3">
      <c r="H80" t="str">
        <f t="shared" si="2"/>
        <v/>
      </c>
      <c r="I80" t="str">
        <f t="shared" si="3"/>
        <v/>
      </c>
    </row>
    <row r="81" spans="8:9" x14ac:dyDescent="0.3">
      <c r="H81" t="str">
        <f t="shared" si="2"/>
        <v/>
      </c>
      <c r="I81" t="str">
        <f t="shared" si="3"/>
        <v/>
      </c>
    </row>
    <row r="82" spans="8:9" x14ac:dyDescent="0.3">
      <c r="H82" t="str">
        <f t="shared" si="2"/>
        <v/>
      </c>
      <c r="I82" t="str">
        <f t="shared" si="3"/>
        <v/>
      </c>
    </row>
    <row r="83" spans="8:9" x14ac:dyDescent="0.3">
      <c r="H83" t="str">
        <f t="shared" si="2"/>
        <v/>
      </c>
      <c r="I83" t="str">
        <f t="shared" si="3"/>
        <v/>
      </c>
    </row>
    <row r="84" spans="8:9" x14ac:dyDescent="0.3">
      <c r="H84" t="str">
        <f t="shared" si="2"/>
        <v/>
      </c>
      <c r="I84" t="str">
        <f t="shared" si="3"/>
        <v/>
      </c>
    </row>
    <row r="85" spans="8:9" x14ac:dyDescent="0.3">
      <c r="H85" t="str">
        <f t="shared" si="2"/>
        <v/>
      </c>
      <c r="I85" t="str">
        <f t="shared" si="3"/>
        <v/>
      </c>
    </row>
    <row r="86" spans="8:9" x14ac:dyDescent="0.3">
      <c r="H86" t="str">
        <f t="shared" si="2"/>
        <v/>
      </c>
      <c r="I86" t="str">
        <f t="shared" si="3"/>
        <v/>
      </c>
    </row>
    <row r="87" spans="8:9" x14ac:dyDescent="0.3">
      <c r="H87" t="str">
        <f t="shared" si="2"/>
        <v/>
      </c>
      <c r="I87" t="str">
        <f t="shared" si="3"/>
        <v/>
      </c>
    </row>
    <row r="88" spans="8:9" x14ac:dyDescent="0.3">
      <c r="H88" t="str">
        <f t="shared" si="2"/>
        <v/>
      </c>
      <c r="I88" t="str">
        <f t="shared" si="3"/>
        <v/>
      </c>
    </row>
    <row r="89" spans="8:9" x14ac:dyDescent="0.3">
      <c r="H89" t="str">
        <f t="shared" si="2"/>
        <v/>
      </c>
      <c r="I89" t="str">
        <f t="shared" si="3"/>
        <v/>
      </c>
    </row>
    <row r="90" spans="8:9" x14ac:dyDescent="0.3">
      <c r="H90" t="str">
        <f t="shared" si="2"/>
        <v/>
      </c>
      <c r="I90" t="str">
        <f t="shared" si="3"/>
        <v/>
      </c>
    </row>
    <row r="91" spans="8:9" x14ac:dyDescent="0.3">
      <c r="H91" t="str">
        <f t="shared" si="2"/>
        <v/>
      </c>
      <c r="I91" t="str">
        <f t="shared" si="3"/>
        <v/>
      </c>
    </row>
    <row r="92" spans="8:9" x14ac:dyDescent="0.3">
      <c r="H92" t="str">
        <f t="shared" si="2"/>
        <v/>
      </c>
      <c r="I92" t="str">
        <f t="shared" si="3"/>
        <v/>
      </c>
    </row>
    <row r="93" spans="8:9" x14ac:dyDescent="0.3">
      <c r="H93" t="str">
        <f t="shared" si="2"/>
        <v/>
      </c>
      <c r="I93" t="str">
        <f t="shared" si="3"/>
        <v/>
      </c>
    </row>
    <row r="94" spans="8:9" x14ac:dyDescent="0.3">
      <c r="H94" t="str">
        <f t="shared" si="2"/>
        <v/>
      </c>
      <c r="I94" t="str">
        <f t="shared" si="3"/>
        <v/>
      </c>
    </row>
    <row r="95" spans="8:9" x14ac:dyDescent="0.3">
      <c r="H95" t="str">
        <f t="shared" si="2"/>
        <v/>
      </c>
      <c r="I95" t="str">
        <f t="shared" si="3"/>
        <v/>
      </c>
    </row>
    <row r="96" spans="8:9" x14ac:dyDescent="0.3">
      <c r="H96" t="str">
        <f t="shared" si="2"/>
        <v/>
      </c>
      <c r="I96" t="str">
        <f t="shared" si="3"/>
        <v/>
      </c>
    </row>
    <row r="97" spans="8:9" x14ac:dyDescent="0.3">
      <c r="H97" t="str">
        <f t="shared" si="2"/>
        <v/>
      </c>
      <c r="I97" t="str">
        <f t="shared" si="3"/>
        <v/>
      </c>
    </row>
    <row r="98" spans="8:9" x14ac:dyDescent="0.3">
      <c r="H98" t="str">
        <f t="shared" si="2"/>
        <v/>
      </c>
      <c r="I98" t="str">
        <f t="shared" si="3"/>
        <v/>
      </c>
    </row>
    <row r="99" spans="8:9" x14ac:dyDescent="0.3">
      <c r="H99" t="str">
        <f t="shared" si="2"/>
        <v/>
      </c>
      <c r="I99" t="str">
        <f t="shared" si="3"/>
        <v/>
      </c>
    </row>
    <row r="100" spans="8:9" x14ac:dyDescent="0.3">
      <c r="H100" t="str">
        <f t="shared" si="2"/>
        <v/>
      </c>
      <c r="I100" t="str">
        <f t="shared" si="3"/>
        <v/>
      </c>
    </row>
    <row r="101" spans="8:9" x14ac:dyDescent="0.3">
      <c r="H101" t="str">
        <f t="shared" si="2"/>
        <v/>
      </c>
      <c r="I101" t="str">
        <f t="shared" si="3"/>
        <v/>
      </c>
    </row>
    <row r="102" spans="8:9" x14ac:dyDescent="0.3">
      <c r="H102" t="str">
        <f t="shared" si="2"/>
        <v/>
      </c>
      <c r="I102" t="str">
        <f t="shared" si="3"/>
        <v/>
      </c>
    </row>
    <row r="103" spans="8:9" x14ac:dyDescent="0.3">
      <c r="H103" t="str">
        <f t="shared" si="2"/>
        <v/>
      </c>
      <c r="I103" t="str">
        <f t="shared" si="3"/>
        <v/>
      </c>
    </row>
    <row r="104" spans="8:9" x14ac:dyDescent="0.3">
      <c r="H104" t="str">
        <f t="shared" si="2"/>
        <v/>
      </c>
      <c r="I104" t="str">
        <f t="shared" si="3"/>
        <v/>
      </c>
    </row>
    <row r="105" spans="8:9" x14ac:dyDescent="0.3">
      <c r="H105" t="str">
        <f t="shared" si="2"/>
        <v/>
      </c>
      <c r="I105" t="str">
        <f t="shared" si="3"/>
        <v/>
      </c>
    </row>
    <row r="106" spans="8:9" x14ac:dyDescent="0.3">
      <c r="H106" t="str">
        <f t="shared" si="2"/>
        <v/>
      </c>
      <c r="I106" t="str">
        <f t="shared" si="3"/>
        <v/>
      </c>
    </row>
    <row r="107" spans="8:9" x14ac:dyDescent="0.3">
      <c r="H107" t="str">
        <f t="shared" si="2"/>
        <v/>
      </c>
      <c r="I107" t="str">
        <f t="shared" si="3"/>
        <v/>
      </c>
    </row>
    <row r="108" spans="8:9" x14ac:dyDescent="0.3">
      <c r="H108" t="str">
        <f t="shared" si="2"/>
        <v/>
      </c>
      <c r="I108" t="str">
        <f t="shared" si="3"/>
        <v/>
      </c>
    </row>
    <row r="109" spans="8:9" x14ac:dyDescent="0.3">
      <c r="H109" t="str">
        <f t="shared" si="2"/>
        <v/>
      </c>
      <c r="I109" t="str">
        <f t="shared" si="3"/>
        <v/>
      </c>
    </row>
    <row r="110" spans="8:9" x14ac:dyDescent="0.3">
      <c r="H110" t="str">
        <f t="shared" si="2"/>
        <v/>
      </c>
      <c r="I110" t="str">
        <f t="shared" si="3"/>
        <v/>
      </c>
    </row>
    <row r="111" spans="8:9" x14ac:dyDescent="0.3">
      <c r="H111" t="str">
        <f t="shared" si="2"/>
        <v/>
      </c>
      <c r="I111" t="str">
        <f t="shared" si="3"/>
        <v/>
      </c>
    </row>
    <row r="112" spans="8:9" x14ac:dyDescent="0.3">
      <c r="H112" t="str">
        <f t="shared" si="2"/>
        <v/>
      </c>
      <c r="I112" t="str">
        <f t="shared" si="3"/>
        <v/>
      </c>
    </row>
    <row r="113" spans="8:9" x14ac:dyDescent="0.3">
      <c r="H113" t="str">
        <f t="shared" si="2"/>
        <v/>
      </c>
      <c r="I113" t="str">
        <f t="shared" si="3"/>
        <v/>
      </c>
    </row>
    <row r="114" spans="8:9" x14ac:dyDescent="0.3">
      <c r="H114" t="str">
        <f t="shared" si="2"/>
        <v/>
      </c>
      <c r="I114" t="str">
        <f t="shared" si="3"/>
        <v/>
      </c>
    </row>
    <row r="115" spans="8:9" x14ac:dyDescent="0.3">
      <c r="H115" t="str">
        <f t="shared" si="2"/>
        <v/>
      </c>
      <c r="I115" t="str">
        <f t="shared" si="3"/>
        <v/>
      </c>
    </row>
    <row r="116" spans="8:9" x14ac:dyDescent="0.3">
      <c r="H116" t="str">
        <f t="shared" si="2"/>
        <v/>
      </c>
      <c r="I116" t="str">
        <f t="shared" si="3"/>
        <v/>
      </c>
    </row>
    <row r="117" spans="8:9" x14ac:dyDescent="0.3">
      <c r="H117" t="str">
        <f t="shared" si="2"/>
        <v/>
      </c>
      <c r="I117" t="str">
        <f t="shared" si="3"/>
        <v/>
      </c>
    </row>
    <row r="118" spans="8:9" x14ac:dyDescent="0.3">
      <c r="H118" t="str">
        <f t="shared" si="2"/>
        <v/>
      </c>
      <c r="I118" t="str">
        <f t="shared" si="3"/>
        <v/>
      </c>
    </row>
    <row r="119" spans="8:9" x14ac:dyDescent="0.3">
      <c r="H119" t="str">
        <f t="shared" si="2"/>
        <v/>
      </c>
      <c r="I119" t="str">
        <f t="shared" si="3"/>
        <v/>
      </c>
    </row>
    <row r="120" spans="8:9" x14ac:dyDescent="0.3">
      <c r="H120" t="str">
        <f t="shared" si="2"/>
        <v/>
      </c>
      <c r="I120" t="str">
        <f t="shared" si="3"/>
        <v/>
      </c>
    </row>
    <row r="121" spans="8:9" x14ac:dyDescent="0.3">
      <c r="H121" t="str">
        <f t="shared" si="2"/>
        <v/>
      </c>
      <c r="I121" t="str">
        <f t="shared" si="3"/>
        <v/>
      </c>
    </row>
    <row r="122" spans="8:9" x14ac:dyDescent="0.3">
      <c r="H122" t="str">
        <f t="shared" si="2"/>
        <v/>
      </c>
      <c r="I122" t="str">
        <f t="shared" si="3"/>
        <v/>
      </c>
    </row>
    <row r="123" spans="8:9" x14ac:dyDescent="0.3">
      <c r="H123" t="str">
        <f t="shared" si="2"/>
        <v/>
      </c>
      <c r="I123" t="str">
        <f t="shared" si="3"/>
        <v/>
      </c>
    </row>
    <row r="124" spans="8:9" x14ac:dyDescent="0.3">
      <c r="H124" t="str">
        <f t="shared" si="2"/>
        <v/>
      </c>
      <c r="I124" t="str">
        <f t="shared" si="3"/>
        <v/>
      </c>
    </row>
    <row r="125" spans="8:9" x14ac:dyDescent="0.3">
      <c r="H125" t="str">
        <f t="shared" si="2"/>
        <v/>
      </c>
      <c r="I125" t="str">
        <f t="shared" si="3"/>
        <v/>
      </c>
    </row>
    <row r="126" spans="8:9" x14ac:dyDescent="0.3">
      <c r="H126" t="str">
        <f t="shared" si="2"/>
        <v/>
      </c>
      <c r="I126" t="str">
        <f t="shared" si="3"/>
        <v/>
      </c>
    </row>
    <row r="127" spans="8:9" x14ac:dyDescent="0.3">
      <c r="H127" t="str">
        <f t="shared" si="2"/>
        <v/>
      </c>
      <c r="I127" t="str">
        <f t="shared" si="3"/>
        <v/>
      </c>
    </row>
    <row r="128" spans="8:9" x14ac:dyDescent="0.3">
      <c r="H128" t="str">
        <f t="shared" si="2"/>
        <v/>
      </c>
      <c r="I128" t="str">
        <f t="shared" si="3"/>
        <v/>
      </c>
    </row>
    <row r="129" spans="8:9" x14ac:dyDescent="0.3">
      <c r="H129" t="str">
        <f t="shared" si="2"/>
        <v/>
      </c>
      <c r="I129" t="str">
        <f t="shared" si="3"/>
        <v/>
      </c>
    </row>
    <row r="130" spans="8:9" x14ac:dyDescent="0.3">
      <c r="H130" t="str">
        <f t="shared" si="2"/>
        <v/>
      </c>
      <c r="I130" t="str">
        <f t="shared" si="3"/>
        <v/>
      </c>
    </row>
    <row r="131" spans="8:9" x14ac:dyDescent="0.3">
      <c r="H131" t="str">
        <f t="shared" ref="H131:H194" si="4">IF(OR(COUNT($A$3:$A$6)&lt;4,NOT(ISNUMBER($G$2))),"",$G$2+(ROW()-3)*$G$3)</f>
        <v/>
      </c>
      <c r="I131" t="str">
        <f t="shared" ref="I131:I194" si="5">IF(H131="","",$F$1*H131^3+$F$2*H131^2+$F$3*H131+$G$1)</f>
        <v/>
      </c>
    </row>
    <row r="132" spans="8:9" x14ac:dyDescent="0.3">
      <c r="H132" t="str">
        <f t="shared" si="4"/>
        <v/>
      </c>
      <c r="I132" t="str">
        <f t="shared" si="5"/>
        <v/>
      </c>
    </row>
    <row r="133" spans="8:9" x14ac:dyDescent="0.3">
      <c r="H133" t="str">
        <f t="shared" si="4"/>
        <v/>
      </c>
      <c r="I133" t="str">
        <f t="shared" si="5"/>
        <v/>
      </c>
    </row>
    <row r="134" spans="8:9" x14ac:dyDescent="0.3">
      <c r="H134" t="str">
        <f t="shared" si="4"/>
        <v/>
      </c>
      <c r="I134" t="str">
        <f t="shared" si="5"/>
        <v/>
      </c>
    </row>
    <row r="135" spans="8:9" x14ac:dyDescent="0.3">
      <c r="H135" t="str">
        <f t="shared" si="4"/>
        <v/>
      </c>
      <c r="I135" t="str">
        <f t="shared" si="5"/>
        <v/>
      </c>
    </row>
    <row r="136" spans="8:9" x14ac:dyDescent="0.3">
      <c r="H136" t="str">
        <f t="shared" si="4"/>
        <v/>
      </c>
      <c r="I136" t="str">
        <f t="shared" si="5"/>
        <v/>
      </c>
    </row>
    <row r="137" spans="8:9" x14ac:dyDescent="0.3">
      <c r="H137" t="str">
        <f t="shared" si="4"/>
        <v/>
      </c>
      <c r="I137" t="str">
        <f t="shared" si="5"/>
        <v/>
      </c>
    </row>
    <row r="138" spans="8:9" x14ac:dyDescent="0.3">
      <c r="H138" t="str">
        <f t="shared" si="4"/>
        <v/>
      </c>
      <c r="I138" t="str">
        <f t="shared" si="5"/>
        <v/>
      </c>
    </row>
    <row r="139" spans="8:9" x14ac:dyDescent="0.3">
      <c r="H139" t="str">
        <f t="shared" si="4"/>
        <v/>
      </c>
      <c r="I139" t="str">
        <f t="shared" si="5"/>
        <v/>
      </c>
    </row>
    <row r="140" spans="8:9" x14ac:dyDescent="0.3">
      <c r="H140" t="str">
        <f t="shared" si="4"/>
        <v/>
      </c>
      <c r="I140" t="str">
        <f t="shared" si="5"/>
        <v/>
      </c>
    </row>
    <row r="141" spans="8:9" x14ac:dyDescent="0.3">
      <c r="H141" t="str">
        <f t="shared" si="4"/>
        <v/>
      </c>
      <c r="I141" t="str">
        <f t="shared" si="5"/>
        <v/>
      </c>
    </row>
    <row r="142" spans="8:9" x14ac:dyDescent="0.3">
      <c r="H142" t="str">
        <f t="shared" si="4"/>
        <v/>
      </c>
      <c r="I142" t="str">
        <f t="shared" si="5"/>
        <v/>
      </c>
    </row>
    <row r="143" spans="8:9" x14ac:dyDescent="0.3">
      <c r="H143" t="str">
        <f t="shared" si="4"/>
        <v/>
      </c>
      <c r="I143" t="str">
        <f t="shared" si="5"/>
        <v/>
      </c>
    </row>
    <row r="144" spans="8:9" x14ac:dyDescent="0.3">
      <c r="H144" t="str">
        <f t="shared" si="4"/>
        <v/>
      </c>
      <c r="I144" t="str">
        <f t="shared" si="5"/>
        <v/>
      </c>
    </row>
    <row r="145" spans="8:9" x14ac:dyDescent="0.3">
      <c r="H145" t="str">
        <f t="shared" si="4"/>
        <v/>
      </c>
      <c r="I145" t="str">
        <f t="shared" si="5"/>
        <v/>
      </c>
    </row>
    <row r="146" spans="8:9" x14ac:dyDescent="0.3">
      <c r="H146" t="str">
        <f t="shared" si="4"/>
        <v/>
      </c>
      <c r="I146" t="str">
        <f t="shared" si="5"/>
        <v/>
      </c>
    </row>
    <row r="147" spans="8:9" x14ac:dyDescent="0.3">
      <c r="H147" t="str">
        <f t="shared" si="4"/>
        <v/>
      </c>
      <c r="I147" t="str">
        <f t="shared" si="5"/>
        <v/>
      </c>
    </row>
    <row r="148" spans="8:9" x14ac:dyDescent="0.3">
      <c r="H148" t="str">
        <f t="shared" si="4"/>
        <v/>
      </c>
      <c r="I148" t="str">
        <f t="shared" si="5"/>
        <v/>
      </c>
    </row>
    <row r="149" spans="8:9" x14ac:dyDescent="0.3">
      <c r="H149" t="str">
        <f t="shared" si="4"/>
        <v/>
      </c>
      <c r="I149" t="str">
        <f t="shared" si="5"/>
        <v/>
      </c>
    </row>
    <row r="150" spans="8:9" x14ac:dyDescent="0.3">
      <c r="H150" t="str">
        <f t="shared" si="4"/>
        <v/>
      </c>
      <c r="I150" t="str">
        <f t="shared" si="5"/>
        <v/>
      </c>
    </row>
    <row r="151" spans="8:9" x14ac:dyDescent="0.3">
      <c r="H151" t="str">
        <f t="shared" si="4"/>
        <v/>
      </c>
      <c r="I151" t="str">
        <f t="shared" si="5"/>
        <v/>
      </c>
    </row>
    <row r="152" spans="8:9" x14ac:dyDescent="0.3">
      <c r="H152" t="str">
        <f t="shared" si="4"/>
        <v/>
      </c>
      <c r="I152" t="str">
        <f t="shared" si="5"/>
        <v/>
      </c>
    </row>
    <row r="153" spans="8:9" x14ac:dyDescent="0.3">
      <c r="H153" t="str">
        <f t="shared" si="4"/>
        <v/>
      </c>
      <c r="I153" t="str">
        <f t="shared" si="5"/>
        <v/>
      </c>
    </row>
    <row r="154" spans="8:9" x14ac:dyDescent="0.3">
      <c r="H154" t="str">
        <f t="shared" si="4"/>
        <v/>
      </c>
      <c r="I154" t="str">
        <f t="shared" si="5"/>
        <v/>
      </c>
    </row>
    <row r="155" spans="8:9" x14ac:dyDescent="0.3">
      <c r="H155" t="str">
        <f t="shared" si="4"/>
        <v/>
      </c>
      <c r="I155" t="str">
        <f t="shared" si="5"/>
        <v/>
      </c>
    </row>
    <row r="156" spans="8:9" x14ac:dyDescent="0.3">
      <c r="H156" t="str">
        <f t="shared" si="4"/>
        <v/>
      </c>
      <c r="I156" t="str">
        <f t="shared" si="5"/>
        <v/>
      </c>
    </row>
    <row r="157" spans="8:9" x14ac:dyDescent="0.3">
      <c r="H157" t="str">
        <f t="shared" si="4"/>
        <v/>
      </c>
      <c r="I157" t="str">
        <f t="shared" si="5"/>
        <v/>
      </c>
    </row>
    <row r="158" spans="8:9" x14ac:dyDescent="0.3">
      <c r="H158" t="str">
        <f t="shared" si="4"/>
        <v/>
      </c>
      <c r="I158" t="str">
        <f t="shared" si="5"/>
        <v/>
      </c>
    </row>
    <row r="159" spans="8:9" x14ac:dyDescent="0.3">
      <c r="H159" t="str">
        <f t="shared" si="4"/>
        <v/>
      </c>
      <c r="I159" t="str">
        <f t="shared" si="5"/>
        <v/>
      </c>
    </row>
    <row r="160" spans="8:9" x14ac:dyDescent="0.3">
      <c r="H160" t="str">
        <f t="shared" si="4"/>
        <v/>
      </c>
      <c r="I160" t="str">
        <f t="shared" si="5"/>
        <v/>
      </c>
    </row>
    <row r="161" spans="8:9" x14ac:dyDescent="0.3">
      <c r="H161" t="str">
        <f t="shared" si="4"/>
        <v/>
      </c>
      <c r="I161" t="str">
        <f t="shared" si="5"/>
        <v/>
      </c>
    </row>
    <row r="162" spans="8:9" x14ac:dyDescent="0.3">
      <c r="H162" t="str">
        <f t="shared" si="4"/>
        <v/>
      </c>
      <c r="I162" t="str">
        <f t="shared" si="5"/>
        <v/>
      </c>
    </row>
    <row r="163" spans="8:9" x14ac:dyDescent="0.3">
      <c r="H163" t="str">
        <f t="shared" si="4"/>
        <v/>
      </c>
      <c r="I163" t="str">
        <f t="shared" si="5"/>
        <v/>
      </c>
    </row>
    <row r="164" spans="8:9" x14ac:dyDescent="0.3">
      <c r="H164" t="str">
        <f t="shared" si="4"/>
        <v/>
      </c>
      <c r="I164" t="str">
        <f t="shared" si="5"/>
        <v/>
      </c>
    </row>
    <row r="165" spans="8:9" x14ac:dyDescent="0.3">
      <c r="H165" t="str">
        <f t="shared" si="4"/>
        <v/>
      </c>
      <c r="I165" t="str">
        <f t="shared" si="5"/>
        <v/>
      </c>
    </row>
    <row r="166" spans="8:9" x14ac:dyDescent="0.3">
      <c r="H166" t="str">
        <f t="shared" si="4"/>
        <v/>
      </c>
      <c r="I166" t="str">
        <f t="shared" si="5"/>
        <v/>
      </c>
    </row>
    <row r="167" spans="8:9" x14ac:dyDescent="0.3">
      <c r="H167" t="str">
        <f t="shared" si="4"/>
        <v/>
      </c>
      <c r="I167" t="str">
        <f t="shared" si="5"/>
        <v/>
      </c>
    </row>
    <row r="168" spans="8:9" x14ac:dyDescent="0.3">
      <c r="H168" t="str">
        <f t="shared" si="4"/>
        <v/>
      </c>
      <c r="I168" t="str">
        <f t="shared" si="5"/>
        <v/>
      </c>
    </row>
    <row r="169" spans="8:9" x14ac:dyDescent="0.3">
      <c r="H169" t="str">
        <f t="shared" si="4"/>
        <v/>
      </c>
      <c r="I169" t="str">
        <f t="shared" si="5"/>
        <v/>
      </c>
    </row>
    <row r="170" spans="8:9" x14ac:dyDescent="0.3">
      <c r="H170" t="str">
        <f t="shared" si="4"/>
        <v/>
      </c>
      <c r="I170" t="str">
        <f t="shared" si="5"/>
        <v/>
      </c>
    </row>
    <row r="171" spans="8:9" x14ac:dyDescent="0.3">
      <c r="H171" t="str">
        <f t="shared" si="4"/>
        <v/>
      </c>
      <c r="I171" t="str">
        <f t="shared" si="5"/>
        <v/>
      </c>
    </row>
    <row r="172" spans="8:9" x14ac:dyDescent="0.3">
      <c r="H172" t="str">
        <f t="shared" si="4"/>
        <v/>
      </c>
      <c r="I172" t="str">
        <f t="shared" si="5"/>
        <v/>
      </c>
    </row>
    <row r="173" spans="8:9" x14ac:dyDescent="0.3">
      <c r="H173" t="str">
        <f t="shared" si="4"/>
        <v/>
      </c>
      <c r="I173" t="str">
        <f t="shared" si="5"/>
        <v/>
      </c>
    </row>
    <row r="174" spans="8:9" x14ac:dyDescent="0.3">
      <c r="H174" t="str">
        <f t="shared" si="4"/>
        <v/>
      </c>
      <c r="I174" t="str">
        <f t="shared" si="5"/>
        <v/>
      </c>
    </row>
    <row r="175" spans="8:9" x14ac:dyDescent="0.3">
      <c r="H175" t="str">
        <f t="shared" si="4"/>
        <v/>
      </c>
      <c r="I175" t="str">
        <f t="shared" si="5"/>
        <v/>
      </c>
    </row>
    <row r="176" spans="8:9" x14ac:dyDescent="0.3">
      <c r="H176" t="str">
        <f t="shared" si="4"/>
        <v/>
      </c>
      <c r="I176" t="str">
        <f t="shared" si="5"/>
        <v/>
      </c>
    </row>
    <row r="177" spans="8:9" x14ac:dyDescent="0.3">
      <c r="H177" t="str">
        <f t="shared" si="4"/>
        <v/>
      </c>
      <c r="I177" t="str">
        <f t="shared" si="5"/>
        <v/>
      </c>
    </row>
    <row r="178" spans="8:9" x14ac:dyDescent="0.3">
      <c r="H178" t="str">
        <f t="shared" si="4"/>
        <v/>
      </c>
      <c r="I178" t="str">
        <f t="shared" si="5"/>
        <v/>
      </c>
    </row>
    <row r="179" spans="8:9" x14ac:dyDescent="0.3">
      <c r="H179" t="str">
        <f t="shared" si="4"/>
        <v/>
      </c>
      <c r="I179" t="str">
        <f t="shared" si="5"/>
        <v/>
      </c>
    </row>
    <row r="180" spans="8:9" x14ac:dyDescent="0.3">
      <c r="H180" t="str">
        <f t="shared" si="4"/>
        <v/>
      </c>
      <c r="I180" t="str">
        <f t="shared" si="5"/>
        <v/>
      </c>
    </row>
    <row r="181" spans="8:9" x14ac:dyDescent="0.3">
      <c r="H181" t="str">
        <f t="shared" si="4"/>
        <v/>
      </c>
      <c r="I181" t="str">
        <f t="shared" si="5"/>
        <v/>
      </c>
    </row>
    <row r="182" spans="8:9" x14ac:dyDescent="0.3">
      <c r="H182" t="str">
        <f t="shared" si="4"/>
        <v/>
      </c>
      <c r="I182" t="str">
        <f t="shared" si="5"/>
        <v/>
      </c>
    </row>
    <row r="183" spans="8:9" x14ac:dyDescent="0.3">
      <c r="H183" t="str">
        <f t="shared" si="4"/>
        <v/>
      </c>
      <c r="I183" t="str">
        <f t="shared" si="5"/>
        <v/>
      </c>
    </row>
    <row r="184" spans="8:9" x14ac:dyDescent="0.3">
      <c r="H184" t="str">
        <f t="shared" si="4"/>
        <v/>
      </c>
      <c r="I184" t="str">
        <f t="shared" si="5"/>
        <v/>
      </c>
    </row>
    <row r="185" spans="8:9" x14ac:dyDescent="0.3">
      <c r="H185" t="str">
        <f t="shared" si="4"/>
        <v/>
      </c>
      <c r="I185" t="str">
        <f t="shared" si="5"/>
        <v/>
      </c>
    </row>
    <row r="186" spans="8:9" x14ac:dyDescent="0.3">
      <c r="H186" t="str">
        <f t="shared" si="4"/>
        <v/>
      </c>
      <c r="I186" t="str">
        <f t="shared" si="5"/>
        <v/>
      </c>
    </row>
    <row r="187" spans="8:9" x14ac:dyDescent="0.3">
      <c r="H187" t="str">
        <f t="shared" si="4"/>
        <v/>
      </c>
      <c r="I187" t="str">
        <f t="shared" si="5"/>
        <v/>
      </c>
    </row>
    <row r="188" spans="8:9" x14ac:dyDescent="0.3">
      <c r="H188" t="str">
        <f t="shared" si="4"/>
        <v/>
      </c>
      <c r="I188" t="str">
        <f t="shared" si="5"/>
        <v/>
      </c>
    </row>
    <row r="189" spans="8:9" x14ac:dyDescent="0.3">
      <c r="H189" t="str">
        <f t="shared" si="4"/>
        <v/>
      </c>
      <c r="I189" t="str">
        <f t="shared" si="5"/>
        <v/>
      </c>
    </row>
    <row r="190" spans="8:9" x14ac:dyDescent="0.3">
      <c r="H190" t="str">
        <f t="shared" si="4"/>
        <v/>
      </c>
      <c r="I190" t="str">
        <f t="shared" si="5"/>
        <v/>
      </c>
    </row>
    <row r="191" spans="8:9" x14ac:dyDescent="0.3">
      <c r="H191" t="str">
        <f t="shared" si="4"/>
        <v/>
      </c>
      <c r="I191" t="str">
        <f t="shared" si="5"/>
        <v/>
      </c>
    </row>
    <row r="192" spans="8:9" x14ac:dyDescent="0.3">
      <c r="H192" t="str">
        <f t="shared" si="4"/>
        <v/>
      </c>
      <c r="I192" t="str">
        <f t="shared" si="5"/>
        <v/>
      </c>
    </row>
    <row r="193" spans="8:9" x14ac:dyDescent="0.3">
      <c r="H193" t="str">
        <f t="shared" si="4"/>
        <v/>
      </c>
      <c r="I193" t="str">
        <f t="shared" si="5"/>
        <v/>
      </c>
    </row>
    <row r="194" spans="8:9" x14ac:dyDescent="0.3">
      <c r="H194" t="str">
        <f t="shared" si="4"/>
        <v/>
      </c>
      <c r="I194" t="str">
        <f t="shared" si="5"/>
        <v/>
      </c>
    </row>
    <row r="195" spans="8:9" x14ac:dyDescent="0.3">
      <c r="H195" t="str">
        <f t="shared" ref="H195:H203" si="6">IF(OR(COUNT($A$3:$A$6)&lt;4,NOT(ISNUMBER($G$2))),"",$G$2+(ROW()-3)*$G$3)</f>
        <v/>
      </c>
      <c r="I195" t="str">
        <f t="shared" ref="I195:I258" si="7">IF(H195="","",$F$1*H195^3+$F$2*H195^2+$F$3*H195+$G$1)</f>
        <v/>
      </c>
    </row>
    <row r="196" spans="8:9" x14ac:dyDescent="0.3">
      <c r="H196" t="str">
        <f t="shared" si="6"/>
        <v/>
      </c>
      <c r="I196" t="str">
        <f t="shared" si="7"/>
        <v/>
      </c>
    </row>
    <row r="197" spans="8:9" x14ac:dyDescent="0.3">
      <c r="H197" t="str">
        <f t="shared" si="6"/>
        <v/>
      </c>
      <c r="I197" t="str">
        <f t="shared" si="7"/>
        <v/>
      </c>
    </row>
    <row r="198" spans="8:9" x14ac:dyDescent="0.3">
      <c r="H198" t="str">
        <f t="shared" si="6"/>
        <v/>
      </c>
      <c r="I198" t="str">
        <f t="shared" si="7"/>
        <v/>
      </c>
    </row>
    <row r="199" spans="8:9" x14ac:dyDescent="0.3">
      <c r="H199" t="str">
        <f t="shared" si="6"/>
        <v/>
      </c>
      <c r="I199" t="str">
        <f t="shared" si="7"/>
        <v/>
      </c>
    </row>
    <row r="200" spans="8:9" x14ac:dyDescent="0.3">
      <c r="H200" t="str">
        <f t="shared" si="6"/>
        <v/>
      </c>
      <c r="I200" t="str">
        <f t="shared" si="7"/>
        <v/>
      </c>
    </row>
    <row r="201" spans="8:9" x14ac:dyDescent="0.3">
      <c r="H201" t="str">
        <f t="shared" si="6"/>
        <v/>
      </c>
      <c r="I201" t="str">
        <f t="shared" si="7"/>
        <v/>
      </c>
    </row>
    <row r="202" spans="8:9" x14ac:dyDescent="0.3">
      <c r="H202" t="str">
        <f t="shared" si="6"/>
        <v/>
      </c>
      <c r="I202" t="str">
        <f t="shared" si="7"/>
        <v/>
      </c>
    </row>
    <row r="203" spans="8:9" x14ac:dyDescent="0.3">
      <c r="H203" t="str">
        <f t="shared" si="6"/>
        <v/>
      </c>
      <c r="I203" t="str">
        <f t="shared" si="7"/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3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3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3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101</v>
      </c>
      <c r="B1" t="s">
        <v>102</v>
      </c>
      <c r="C1" t="s">
        <v>63</v>
      </c>
      <c r="D1" t="s">
        <v>103</v>
      </c>
    </row>
    <row r="2" spans="1:4" x14ac:dyDescent="0.3">
      <c r="A2" t="s">
        <v>104</v>
      </c>
      <c r="B2" t="s">
        <v>105</v>
      </c>
      <c r="C2" t="s">
        <v>106</v>
      </c>
    </row>
    <row r="3" spans="1:4" x14ac:dyDescent="0.3">
      <c r="A3" t="s">
        <v>107</v>
      </c>
      <c r="B3" t="s">
        <v>108</v>
      </c>
      <c r="C3" t="s">
        <v>106</v>
      </c>
    </row>
    <row r="4" spans="1:4" x14ac:dyDescent="0.3">
      <c r="A4" t="s">
        <v>109</v>
      </c>
      <c r="B4" t="s">
        <v>110</v>
      </c>
      <c r="C4" t="s">
        <v>106</v>
      </c>
    </row>
    <row r="5" spans="1:4" x14ac:dyDescent="0.3">
      <c r="A5" t="s">
        <v>111</v>
      </c>
      <c r="B5" t="s">
        <v>112</v>
      </c>
      <c r="C5" t="s">
        <v>106</v>
      </c>
    </row>
    <row r="6" spans="1:4" x14ac:dyDescent="0.3">
      <c r="A6" t="s">
        <v>113</v>
      </c>
      <c r="B6" t="s">
        <v>114</v>
      </c>
      <c r="C6" t="s">
        <v>106</v>
      </c>
    </row>
    <row r="7" spans="1:4" x14ac:dyDescent="0.3">
      <c r="A7" t="s">
        <v>115</v>
      </c>
      <c r="B7" t="s">
        <v>116</v>
      </c>
      <c r="C7" t="s">
        <v>106</v>
      </c>
    </row>
    <row r="8" spans="1:4" x14ac:dyDescent="0.3">
      <c r="A8" t="s">
        <v>117</v>
      </c>
      <c r="B8" t="s">
        <v>118</v>
      </c>
      <c r="C8" t="s">
        <v>106</v>
      </c>
    </row>
    <row r="9" spans="1:4" x14ac:dyDescent="0.3">
      <c r="A9" t="s">
        <v>119</v>
      </c>
      <c r="B9" t="s">
        <v>120</v>
      </c>
      <c r="C9" t="s">
        <v>121</v>
      </c>
      <c r="D9" t="s">
        <v>122</v>
      </c>
    </row>
    <row r="10" spans="1:4" x14ac:dyDescent="0.3">
      <c r="A10" t="s">
        <v>123</v>
      </c>
      <c r="B10" t="s">
        <v>124</v>
      </c>
      <c r="C10" t="s">
        <v>125</v>
      </c>
      <c r="D10" t="s">
        <v>126</v>
      </c>
    </row>
    <row r="11" spans="1:4" x14ac:dyDescent="0.3">
      <c r="A11" t="s">
        <v>127</v>
      </c>
      <c r="B11" t="s">
        <v>128</v>
      </c>
      <c r="C11" t="s">
        <v>125</v>
      </c>
      <c r="D11" t="s">
        <v>126</v>
      </c>
    </row>
    <row r="12" spans="1:4" x14ac:dyDescent="0.3">
      <c r="A12" t="s">
        <v>129</v>
      </c>
      <c r="B12" t="s">
        <v>130</v>
      </c>
      <c r="C12" t="s">
        <v>106</v>
      </c>
    </row>
    <row r="13" spans="1:4" x14ac:dyDescent="0.3">
      <c r="A13" t="s">
        <v>131</v>
      </c>
      <c r="B13" t="s">
        <v>132</v>
      </c>
      <c r="C13" t="s">
        <v>106</v>
      </c>
    </row>
    <row r="14" spans="1:4" x14ac:dyDescent="0.3">
      <c r="A14" t="s">
        <v>133</v>
      </c>
      <c r="B14" t="s">
        <v>134</v>
      </c>
      <c r="C14" t="s">
        <v>106</v>
      </c>
    </row>
    <row r="15" spans="1:4" x14ac:dyDescent="0.3">
      <c r="A15" t="s">
        <v>135</v>
      </c>
      <c r="B15" t="s">
        <v>136</v>
      </c>
      <c r="C15" t="s">
        <v>106</v>
      </c>
    </row>
    <row r="16" spans="1:4" x14ac:dyDescent="0.3">
      <c r="A16" t="s">
        <v>137</v>
      </c>
      <c r="B16" t="s">
        <v>138</v>
      </c>
      <c r="C16" t="s">
        <v>106</v>
      </c>
    </row>
    <row r="17" spans="1:4" x14ac:dyDescent="0.3">
      <c r="A17" t="s">
        <v>139</v>
      </c>
      <c r="B17" t="s">
        <v>140</v>
      </c>
      <c r="C17" t="s">
        <v>106</v>
      </c>
    </row>
    <row r="18" spans="1:4" x14ac:dyDescent="0.3">
      <c r="A18" t="s">
        <v>141</v>
      </c>
      <c r="B18" t="s">
        <v>142</v>
      </c>
      <c r="C18" t="s">
        <v>125</v>
      </c>
      <c r="D18" t="s">
        <v>126</v>
      </c>
    </row>
    <row r="19" spans="1:4" x14ac:dyDescent="0.3">
      <c r="A19" t="s">
        <v>143</v>
      </c>
      <c r="B19" t="s">
        <v>144</v>
      </c>
      <c r="C19" t="s">
        <v>125</v>
      </c>
      <c r="D19" t="s">
        <v>126</v>
      </c>
    </row>
    <row r="20" spans="1:4" x14ac:dyDescent="0.3">
      <c r="A20" t="s">
        <v>145</v>
      </c>
      <c r="B20" t="s">
        <v>146</v>
      </c>
      <c r="C20" t="s">
        <v>125</v>
      </c>
      <c r="D20" t="s">
        <v>147</v>
      </c>
    </row>
    <row r="21" spans="1:4" x14ac:dyDescent="0.3">
      <c r="A21" t="s">
        <v>148</v>
      </c>
      <c r="B21" t="s">
        <v>149</v>
      </c>
      <c r="C21" t="s">
        <v>125</v>
      </c>
      <c r="D21" t="s">
        <v>147</v>
      </c>
    </row>
    <row r="22" spans="1:4" x14ac:dyDescent="0.3">
      <c r="A22" t="s">
        <v>150</v>
      </c>
      <c r="B22" t="s">
        <v>151</v>
      </c>
      <c r="C22" t="s">
        <v>125</v>
      </c>
      <c r="D22" t="s">
        <v>147</v>
      </c>
    </row>
    <row r="23" spans="1:4" x14ac:dyDescent="0.3">
      <c r="A23" t="s">
        <v>152</v>
      </c>
      <c r="B23" t="s">
        <v>153</v>
      </c>
      <c r="C23" t="s">
        <v>125</v>
      </c>
      <c r="D23" t="s">
        <v>126</v>
      </c>
    </row>
    <row r="24" spans="1:4" x14ac:dyDescent="0.3">
      <c r="A24" t="s">
        <v>154</v>
      </c>
      <c r="B24" t="s">
        <v>155</v>
      </c>
      <c r="C24" t="s">
        <v>125</v>
      </c>
      <c r="D24" t="s">
        <v>126</v>
      </c>
    </row>
    <row r="25" spans="1:4" x14ac:dyDescent="0.3">
      <c r="A25" t="s">
        <v>156</v>
      </c>
      <c r="B25" t="s">
        <v>157</v>
      </c>
      <c r="C25" t="s">
        <v>125</v>
      </c>
      <c r="D25" t="s">
        <v>126</v>
      </c>
    </row>
    <row r="26" spans="1:4" x14ac:dyDescent="0.3">
      <c r="A26" t="s">
        <v>158</v>
      </c>
      <c r="B26" t="s">
        <v>159</v>
      </c>
      <c r="C26" t="s">
        <v>125</v>
      </c>
      <c r="D26" t="s">
        <v>126</v>
      </c>
    </row>
    <row r="27" spans="1:4" x14ac:dyDescent="0.3">
      <c r="A27" t="s">
        <v>160</v>
      </c>
      <c r="B27" t="s">
        <v>161</v>
      </c>
      <c r="C27" t="s">
        <v>125</v>
      </c>
      <c r="D27" t="s">
        <v>126</v>
      </c>
    </row>
    <row r="28" spans="1:4" x14ac:dyDescent="0.3">
      <c r="A28" t="s">
        <v>162</v>
      </c>
      <c r="B28" t="s">
        <v>163</v>
      </c>
      <c r="C28" t="s">
        <v>125</v>
      </c>
      <c r="D28" t="s">
        <v>126</v>
      </c>
    </row>
    <row r="29" spans="1:4" x14ac:dyDescent="0.3">
      <c r="A29" t="s">
        <v>164</v>
      </c>
      <c r="B29" t="s">
        <v>165</v>
      </c>
      <c r="C29" t="s">
        <v>125</v>
      </c>
      <c r="D29" t="s">
        <v>126</v>
      </c>
    </row>
    <row r="30" spans="1:4" x14ac:dyDescent="0.3">
      <c r="A30" t="s">
        <v>166</v>
      </c>
      <c r="B30" t="s">
        <v>167</v>
      </c>
      <c r="C30" t="s">
        <v>125</v>
      </c>
      <c r="D30" t="s">
        <v>126</v>
      </c>
    </row>
    <row r="31" spans="1:4" x14ac:dyDescent="0.3">
      <c r="A31" t="s">
        <v>168</v>
      </c>
      <c r="B31" t="s">
        <v>169</v>
      </c>
      <c r="C31" t="s">
        <v>125</v>
      </c>
      <c r="D31" t="s">
        <v>126</v>
      </c>
    </row>
    <row r="32" spans="1:4" x14ac:dyDescent="0.3">
      <c r="A32" t="s">
        <v>170</v>
      </c>
      <c r="B32" t="s">
        <v>171</v>
      </c>
      <c r="C32" t="s">
        <v>125</v>
      </c>
      <c r="D32" t="s">
        <v>126</v>
      </c>
    </row>
    <row r="33" spans="1:4" x14ac:dyDescent="0.3">
      <c r="A33" t="s">
        <v>172</v>
      </c>
      <c r="B33" t="s">
        <v>173</v>
      </c>
      <c r="C33" t="s">
        <v>125</v>
      </c>
      <c r="D33" t="s">
        <v>126</v>
      </c>
    </row>
    <row r="34" spans="1:4" x14ac:dyDescent="0.3">
      <c r="A34" t="s">
        <v>174</v>
      </c>
      <c r="B34" t="s">
        <v>175</v>
      </c>
      <c r="C34" t="s">
        <v>125</v>
      </c>
      <c r="D34" t="s">
        <v>126</v>
      </c>
    </row>
    <row r="35" spans="1:4" x14ac:dyDescent="0.3">
      <c r="A35" t="s">
        <v>176</v>
      </c>
      <c r="B35" t="s">
        <v>177</v>
      </c>
      <c r="C35" t="s">
        <v>106</v>
      </c>
    </row>
    <row r="36" spans="1:4" x14ac:dyDescent="0.3">
      <c r="A36" t="s">
        <v>178</v>
      </c>
      <c r="B36" t="s">
        <v>179</v>
      </c>
      <c r="C36" t="s">
        <v>125</v>
      </c>
      <c r="D36" t="s">
        <v>126</v>
      </c>
    </row>
    <row r="37" spans="1:4" x14ac:dyDescent="0.3">
      <c r="A37" t="s">
        <v>180</v>
      </c>
      <c r="B37" t="s">
        <v>181</v>
      </c>
      <c r="C37" t="s">
        <v>125</v>
      </c>
      <c r="D37" t="s">
        <v>126</v>
      </c>
    </row>
    <row r="38" spans="1:4" x14ac:dyDescent="0.3">
      <c r="A38" t="s">
        <v>182</v>
      </c>
      <c r="B38" t="s">
        <v>183</v>
      </c>
      <c r="C38" t="s">
        <v>125</v>
      </c>
      <c r="D38" t="s">
        <v>126</v>
      </c>
    </row>
    <row r="39" spans="1:4" x14ac:dyDescent="0.3">
      <c r="A39" t="s">
        <v>184</v>
      </c>
      <c r="B39" t="s">
        <v>185</v>
      </c>
      <c r="C39" t="s">
        <v>106</v>
      </c>
    </row>
    <row r="40" spans="1:4" x14ac:dyDescent="0.3">
      <c r="A40" t="s">
        <v>186</v>
      </c>
      <c r="B40" t="s">
        <v>187</v>
      </c>
      <c r="C40" t="s">
        <v>125</v>
      </c>
      <c r="D40" t="s">
        <v>126</v>
      </c>
    </row>
    <row r="41" spans="1:4" x14ac:dyDescent="0.3">
      <c r="A41" t="s">
        <v>188</v>
      </c>
      <c r="B41" t="s">
        <v>189</v>
      </c>
      <c r="C41" t="s">
        <v>125</v>
      </c>
      <c r="D41" t="s">
        <v>126</v>
      </c>
    </row>
    <row r="42" spans="1:4" x14ac:dyDescent="0.3">
      <c r="A42" t="s">
        <v>190</v>
      </c>
      <c r="B42" t="s">
        <v>191</v>
      </c>
      <c r="C42" t="s">
        <v>125</v>
      </c>
      <c r="D42" t="s">
        <v>126</v>
      </c>
    </row>
    <row r="43" spans="1:4" x14ac:dyDescent="0.3">
      <c r="A43" t="s">
        <v>192</v>
      </c>
      <c r="B43" t="s">
        <v>193</v>
      </c>
      <c r="C43" t="s">
        <v>106</v>
      </c>
    </row>
    <row r="44" spans="1:4" x14ac:dyDescent="0.3">
      <c r="A44" t="s">
        <v>194</v>
      </c>
      <c r="B44" t="s">
        <v>195</v>
      </c>
      <c r="C44" t="s">
        <v>125</v>
      </c>
      <c r="D44" t="s">
        <v>126</v>
      </c>
    </row>
    <row r="45" spans="1:4" x14ac:dyDescent="0.3">
      <c r="A45" t="s">
        <v>196</v>
      </c>
      <c r="B45" t="s">
        <v>197</v>
      </c>
      <c r="C45" t="s">
        <v>125</v>
      </c>
      <c r="D45" t="s">
        <v>126</v>
      </c>
    </row>
    <row r="46" spans="1:4" x14ac:dyDescent="0.3">
      <c r="A46" t="s">
        <v>198</v>
      </c>
      <c r="B46" t="s">
        <v>199</v>
      </c>
      <c r="C46" t="s">
        <v>125</v>
      </c>
      <c r="D46" t="s">
        <v>126</v>
      </c>
    </row>
    <row r="47" spans="1:4" x14ac:dyDescent="0.3">
      <c r="A47" t="s">
        <v>200</v>
      </c>
      <c r="B47" t="s">
        <v>201</v>
      </c>
      <c r="C47" t="s">
        <v>106</v>
      </c>
    </row>
    <row r="48" spans="1:4" x14ac:dyDescent="0.3">
      <c r="A48" t="s">
        <v>202</v>
      </c>
      <c r="B48" t="s">
        <v>203</v>
      </c>
      <c r="C48" t="s">
        <v>125</v>
      </c>
      <c r="D48" t="s">
        <v>126</v>
      </c>
    </row>
    <row r="49" spans="1:4" x14ac:dyDescent="0.3">
      <c r="A49" t="s">
        <v>204</v>
      </c>
      <c r="B49" t="s">
        <v>205</v>
      </c>
      <c r="C49" t="s">
        <v>125</v>
      </c>
      <c r="D49" t="s">
        <v>126</v>
      </c>
    </row>
    <row r="50" spans="1:4" x14ac:dyDescent="0.3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2026-09-15T15:56:56Z</dcterms:created>
  <dcterms:modified xsi:type="dcterms:W3CDTF">2026-09-15T15:57:05Z</dcterms:modified>
</cp:coreProperties>
</file>