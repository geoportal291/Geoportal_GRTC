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9B39C810-441F-44B1-B079-A9549AE7F53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AjusteX">_DATOS!$H$3:$H$22</definedName>
    <definedName name="AjusteY">_DATOS!$I$3:$I$22</definedName>
    <definedName name="_xlnm.Print_Area" localSheetId="0">Reporte!$A$1:$I$78</definedName>
    <definedName name="CurvaX">_DATOS!$A$3:$A$6</definedName>
    <definedName name="CurvaY">_DATOS!$B$3:$B$6</definedName>
    <definedName name="MDSX">_DATOS!$K$3</definedName>
    <definedName name="MDSY">_DATOS!$L$3</definedName>
  </definedNames>
  <calcPr calcId="191029"/>
</workbook>
</file>

<file path=xl/calcChain.xml><?xml version="1.0" encoding="utf-8"?>
<calcChain xmlns="http://schemas.openxmlformats.org/spreadsheetml/2006/main">
  <c r="E37" i="1" l="1"/>
  <c r="E38" i="1" s="1"/>
  <c r="D37" i="1"/>
  <c r="D38" i="1" s="1"/>
  <c r="C37" i="1"/>
  <c r="C38" i="1" s="1"/>
  <c r="B37" i="1"/>
  <c r="B38" i="1" s="1"/>
  <c r="E36" i="1"/>
  <c r="D36" i="1"/>
  <c r="C36" i="1"/>
  <c r="B36" i="1"/>
  <c r="C26" i="1"/>
  <c r="B26" i="1"/>
  <c r="E25" i="1"/>
  <c r="D25" i="1"/>
  <c r="D27" i="1" s="1"/>
  <c r="C25" i="1"/>
  <c r="C27" i="1" s="1"/>
  <c r="B25" i="1"/>
  <c r="B27" i="1" s="1"/>
  <c r="I17" i="1"/>
  <c r="D26" i="1" s="1"/>
  <c r="B39" i="1" l="1"/>
  <c r="A3" i="2" s="1"/>
  <c r="C39" i="1"/>
  <c r="A4" i="2" s="1"/>
  <c r="B4" i="2" s="1"/>
  <c r="D39" i="1"/>
  <c r="A5" i="2" s="1"/>
  <c r="B5" i="2" s="1"/>
  <c r="E26" i="1"/>
  <c r="E27" i="1" s="1"/>
  <c r="E39" i="1" s="1"/>
  <c r="A6" i="2" s="1"/>
  <c r="B6" i="2" s="1"/>
  <c r="F3" i="2" l="1"/>
  <c r="B3" i="2"/>
  <c r="F2" i="2"/>
  <c r="F1" i="2"/>
  <c r="F4" i="2" l="1"/>
  <c r="H20" i="2" s="1"/>
  <c r="I20" i="2" s="1"/>
  <c r="H15" i="2" l="1"/>
  <c r="I15" i="2" s="1"/>
  <c r="H21" i="2"/>
  <c r="I21" i="2" s="1"/>
  <c r="H18" i="2"/>
  <c r="I18" i="2" s="1"/>
  <c r="K3" i="2"/>
  <c r="F5" i="2"/>
  <c r="B42" i="1"/>
  <c r="H19" i="2"/>
  <c r="I19" i="2" s="1"/>
  <c r="H4" i="2"/>
  <c r="I4" i="2" s="1"/>
  <c r="H17" i="2"/>
  <c r="I17" i="2" s="1"/>
  <c r="H12" i="2"/>
  <c r="I12" i="2" s="1"/>
  <c r="H13" i="2"/>
  <c r="I13" i="2" s="1"/>
  <c r="H3" i="2"/>
  <c r="I3" i="2" s="1"/>
  <c r="H6" i="2"/>
  <c r="I6" i="2" s="1"/>
  <c r="H5" i="2"/>
  <c r="I5" i="2" s="1"/>
  <c r="H7" i="2"/>
  <c r="I7" i="2" s="1"/>
  <c r="H10" i="2"/>
  <c r="I10" i="2" s="1"/>
  <c r="H8" i="2"/>
  <c r="I8" i="2" s="1"/>
  <c r="H16" i="2"/>
  <c r="I16" i="2" s="1"/>
  <c r="H14" i="2"/>
  <c r="I14" i="2" s="1"/>
  <c r="H22" i="2"/>
  <c r="I22" i="2" s="1"/>
  <c r="H9" i="2"/>
  <c r="I9" i="2" s="1"/>
  <c r="H11" i="2"/>
  <c r="I11" i="2" s="1"/>
  <c r="B41" i="1" l="1"/>
  <c r="L3" i="2"/>
</calcChain>
</file>

<file path=xl/sharedStrings.xml><?xml version="1.0" encoding="utf-8"?>
<sst xmlns="http://schemas.openxmlformats.org/spreadsheetml/2006/main" count="292" uniqueCount="208">
  <si>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</si>
  <si>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</si>
  <si>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</si>
  <si>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</si>
  <si>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</si>
  <si>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</si>
  <si>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</si>
  <si>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</si>
  <si>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</si>
  <si>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</si>
  <si>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</si>
  <si>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</si>
  <si>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</si>
  <si>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</si>
  <si>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</si>
  <si>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</si>
  <si>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</si>
  <si>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</si>
  <si>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</si>
  <si>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</si>
  <si>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</si>
  <si>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</si>
  <si>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</si>
  <si>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</si>
  <si>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COMPACTACIÓN PROCTOR MODIFICADO - MTC E 115</t>
  </si>
  <si>
    <t>EQUIPO / MOLDE</t>
  </si>
  <si>
    <t>Código:</t>
  </si>
  <si>
    <t>Diám. (cm):</t>
  </si>
  <si>
    <t>Altura (cm):</t>
  </si>
  <si>
    <t>Vol. (cm³):</t>
  </si>
  <si>
    <t>COMPACTACIÓN</t>
  </si>
  <si>
    <t>Golpes/capa:</t>
  </si>
  <si>
    <t>N° capas:</t>
  </si>
  <si>
    <t>Martillo (lb):</t>
  </si>
  <si>
    <t>DATOS DE ENSAYO</t>
  </si>
  <si>
    <t>Parámetro</t>
  </si>
  <si>
    <t>M1</t>
  </si>
  <si>
    <t>M2</t>
  </si>
  <si>
    <t>M3</t>
  </si>
  <si>
    <t>M4</t>
  </si>
  <si>
    <t>Masa del molde (g)</t>
  </si>
  <si>
    <t>Masa molde + suelo húmedo (g)</t>
  </si>
  <si>
    <t>Agua incrementada (g)</t>
  </si>
  <si>
    <t>Masa del suelo húmedo (g)</t>
  </si>
  <si>
    <t>Volumen del molde (cm³)</t>
  </si>
  <si>
    <t>Densidad húmeda (g/cm³)</t>
  </si>
  <si>
    <t>CÁLCULO DE LA HUMEDAD</t>
  </si>
  <si>
    <t>Cápsula N°</t>
  </si>
  <si>
    <t>Masa de cápsula (g)</t>
  </si>
  <si>
    <t>Masa cápsula + suelo húmedo (g)</t>
  </si>
  <si>
    <t>Masa cápsula + suelo seco (g)</t>
  </si>
  <si>
    <t>Masa de agua (g)</t>
  </si>
  <si>
    <t>Masa de suelo seco (g)</t>
  </si>
  <si>
    <t>Contenido de humedad (%)</t>
  </si>
  <si>
    <t>Densidad seca (g/cm³)</t>
  </si>
  <si>
    <t>MÁXIMA DENSIDAD SECA (g/cm³)</t>
  </si>
  <si>
    <t>HUMEDAD ÓPTIMA (%)</t>
  </si>
  <si>
    <t>CURVA DE COMPACTACIÓN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</si>
  <si>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</si>
  <si>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</si>
  <si>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</si>
  <si>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</si>
  <si>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</si>
  <si>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</si>
  <si>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</si>
  <si>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</si>
  <si>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</si>
  <si>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</si>
  <si>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</si>
  <si>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</si>
  <si>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</si>
  <si>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</si>
  <si>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</si>
  <si>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</si>
  <si>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</si>
  <si>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</si>
  <si>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</si>
  <si>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</si>
  <si>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</si>
  <si>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</si>
  <si>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curva_compactacion</t>
  </si>
  <si>
    <t>Curva de Compactación Proctor Modificado</t>
  </si>
  <si>
    <t>xy</t>
  </si>
  <si>
    <t>A46</t>
  </si>
  <si>
    <t>NO</t>
  </si>
  <si>
    <t>Contenido de Humedad (%)</t>
  </si>
  <si>
    <t>Densidad Seca (g/cm³)</t>
  </si>
  <si>
    <t>Ajuste Cuadrático</t>
  </si>
  <si>
    <t>linea_suave</t>
  </si>
  <si>
    <t>'_DATOS'!$H$3:$H$22</t>
  </si>
  <si>
    <t>'_DATOS'!$I$3:$I$22</t>
  </si>
  <si>
    <t>DC2626</t>
  </si>
  <si>
    <t>Puntos de Ensayo</t>
  </si>
  <si>
    <t>marcador</t>
  </si>
  <si>
    <t>'_DATOS'!$A$3:$A$6</t>
  </si>
  <si>
    <t>'_DATOS'!$B$3:$B$6</t>
  </si>
  <si>
    <t>1E40AF</t>
  </si>
  <si>
    <t>Máxima Densidad Seca</t>
  </si>
  <si>
    <t>'_DATOS'!$K$3:$K$3</t>
  </si>
  <si>
    <t>'_DATOS'!$L$3:$L$3</t>
  </si>
  <si>
    <t>059669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</si>
  <si>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</si>
  <si>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</si>
  <si>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</si>
  <si>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</si>
  <si>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</si>
  <si>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</si>
  <si>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</si>
  <si>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</si>
  <si>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</si>
  <si>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</si>
  <si>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</si>
  <si>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</si>
  <si>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</si>
  <si>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</si>
  <si>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</si>
  <si>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</si>
  <si>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</si>
  <si>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</si>
  <si>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</si>
  <si>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</si>
  <si>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</si>
  <si>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</si>
  <si>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</si>
  <si>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</si>
  <si>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</si>
  <si>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</si>
  <si>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</si>
  <si>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</si>
  <si>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</si>
  <si>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</si>
  <si>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</si>
  <si>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</si>
  <si>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</si>
  <si>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</si>
  <si>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</si>
  <si>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</si>
  <si>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</si>
  <si>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</si>
  <si>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datos.general_fields.codigo_molde</t>
  </si>
  <si>
    <t>C17</t>
  </si>
  <si>
    <t>datos.general_fields.diametro_cm</t>
  </si>
  <si>
    <t>E17</t>
  </si>
  <si>
    <t>datos.general_fields.altura_cm</t>
  </si>
  <si>
    <t>G17</t>
  </si>
  <si>
    <t>datos.general_fields.golpes_por_capa</t>
  </si>
  <si>
    <t>C18</t>
  </si>
  <si>
    <t>0</t>
  </si>
  <si>
    <t>datos.general_fields.numero_capas</t>
  </si>
  <si>
    <t>E18</t>
  </si>
  <si>
    <t>datos.general_fields.masa_martillo_lb</t>
  </si>
  <si>
    <t>G18</t>
  </si>
  <si>
    <t>datos.tables.datos_ensayo.m1.masa_molde</t>
  </si>
  <si>
    <t>B22</t>
  </si>
  <si>
    <t>datos.tables.datos_ensayo.m1.masa_suelo_humedo_molde</t>
  </si>
  <si>
    <t>B23</t>
  </si>
  <si>
    <t>datos.tables.datos_ensayo.m1.agua_incrementada</t>
  </si>
  <si>
    <t>B24</t>
  </si>
  <si>
    <t>datos.tables.datos_ensayo.m2.masa_molde</t>
  </si>
  <si>
    <t>C22</t>
  </si>
  <si>
    <t>datos.tables.datos_ensayo.m2.masa_suelo_humedo_molde</t>
  </si>
  <si>
    <t>C23</t>
  </si>
  <si>
    <t>datos.tables.datos_ensayo.m2.agua_incrementada</t>
  </si>
  <si>
    <t>C24</t>
  </si>
  <si>
    <t>datos.tables.datos_ensayo.m3.masa_molde</t>
  </si>
  <si>
    <t>D22</t>
  </si>
  <si>
    <t>datos.tables.datos_ensayo.m3.masa_suelo_humedo_molde</t>
  </si>
  <si>
    <t>D23</t>
  </si>
  <si>
    <t>datos.tables.datos_ensayo.m3.agua_incrementada</t>
  </si>
  <si>
    <t>D24</t>
  </si>
  <si>
    <t>datos.tables.datos_ensayo.m4.masa_molde</t>
  </si>
  <si>
    <t>E22</t>
  </si>
  <si>
    <t>datos.tables.datos_ensayo.m4.masa_suelo_humedo_molde</t>
  </si>
  <si>
    <t>E23</t>
  </si>
  <si>
    <t>datos.tables.datos_ensayo.m4.agua_incrementada</t>
  </si>
  <si>
    <t>E24</t>
  </si>
  <si>
    <t>datos.tables.calculo_humedad.m1.capsula_nro</t>
  </si>
  <si>
    <t>B32</t>
  </si>
  <si>
    <t>datos.tables.calculo_humedad.m1.masa_capsula</t>
  </si>
  <si>
    <t>B33</t>
  </si>
  <si>
    <t>datos.tables.calculo_humedad.m1.masa_capsula_suelo_humedo</t>
  </si>
  <si>
    <t>B34</t>
  </si>
  <si>
    <t>datos.tables.calculo_humedad.m1.masa_capsula_suelo_seco</t>
  </si>
  <si>
    <t>B35</t>
  </si>
  <si>
    <t>datos.tables.calculo_humedad.m2.capsula_nro</t>
  </si>
  <si>
    <t>C32</t>
  </si>
  <si>
    <t>datos.tables.calculo_humedad.m2.masa_capsula</t>
  </si>
  <si>
    <t>C33</t>
  </si>
  <si>
    <t>datos.tables.calculo_humedad.m2.masa_capsula_suelo_humedo</t>
  </si>
  <si>
    <t>C34</t>
  </si>
  <si>
    <t>datos.tables.calculo_humedad.m2.masa_capsula_suelo_seco</t>
  </si>
  <si>
    <t>C35</t>
  </si>
  <si>
    <t>datos.tables.calculo_humedad.m3.capsula_nro</t>
  </si>
  <si>
    <t>D32</t>
  </si>
  <si>
    <t>datos.tables.calculo_humedad.m3.masa_capsula</t>
  </si>
  <si>
    <t>D33</t>
  </si>
  <si>
    <t>datos.tables.calculo_humedad.m3.masa_capsula_suelo_humedo</t>
  </si>
  <si>
    <t>D34</t>
  </si>
  <si>
    <t>datos.tables.calculo_humedad.m3.masa_capsula_suelo_seco</t>
  </si>
  <si>
    <t>D35</t>
  </si>
  <si>
    <t>datos.tables.calculo_humedad.m4.capsula_nro</t>
  </si>
  <si>
    <t>E32</t>
  </si>
  <si>
    <t>datos.tables.calculo_humedad.m4.masa_capsula</t>
  </si>
  <si>
    <t>E33</t>
  </si>
  <si>
    <t>datos.tables.calculo_humedad.m4.masa_capsula_suelo_humedo</t>
  </si>
  <si>
    <t>E34</t>
  </si>
  <si>
    <t>datos.tables.calculo_humedad.m4.masa_capsula_suelo_seco</t>
  </si>
  <si>
    <t>E35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</si>
</sst>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&quot; g/cm³&quot;"/>
    <numFmt numFmtId="166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sz val="9"/>
      <color rgb="FF1D4ED8"/>
      <name val="Calibri"/>
    </font>
    <font>
      <b/>
      <sz val="9"/>
      <color rgb="FFFFFFFF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164" fontId="11" fillId="7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6" fontId="13" fillId="4" borderId="1" xfId="0" applyNumberFormat="1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Compactación — Densidad Seca (g/cm³) vs Humedad (%)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Ajuste Cuadrático</c:v>
          </c:tx>
          <c:spPr>
            <a:ln w="24000">
              <a:solidFill>
                <a:srgbClr val="DC2626"/>
              </a:solidFill>
              <a:prstDash val="solid"/>
            </a:ln>
          </c:spPr>
          <c:marker>
            <c:symbol val="none"/>
          </c:marker>
          <c:xVal>
            <c:numRef>
              <c:f>_DATOS!$H$3:$H$22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_DATOS!$I$3:$I$22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6A-4168-B9F1-5B177EC7AFA3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_DATOS!$B$3:$B$6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A-4168-B9F1-5B177EC7AFA3}"/>
            </c:ext>
          </c:extLst>
        </c:ser>
        <c:ser>
          <c:idx val="2"/>
          <c:order val="2"/>
          <c:tx>
            <c:v>Máxima Densidad Seca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_DATOS!$L$3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6A-4168-B9F1-5B177EC7A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45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77"/>
  <sheetViews>
    <sheetView showGridLines="0" tabSelected="1" workbookViewId="0"/>
  </sheetViews>
  <sheetFormatPr baseColWidth="10" defaultColWidth="9.140625" defaultRowHeight="15" x14ac:dyDescent="0.25"/>
  <cols>
    <col min="1" max="1" width="34" customWidth="1"/>
    <col min="2" max="9" width="11" customWidth="1"/>
  </cols>
  <sheetData>
    <row r="1" spans="1:9" ht="20.100000000000001" customHeight="1" x14ac:dyDescent="0.25">
      <c r="C1" s="19" t="s">
        <v>0</v>
      </c>
      <c r="D1" s="14"/>
      <c r="E1" s="14"/>
      <c r="F1" s="14"/>
      <c r="G1" s="14"/>
    </row>
    <row r="2" spans="1:9" ht="15" customHeight="1" x14ac:dyDescent="0.25">
      <c r="C2" s="15" t="s">
        <v>1</v>
      </c>
      <c r="D2" s="14"/>
      <c r="E2" s="14"/>
      <c r="F2" s="14"/>
      <c r="G2" s="14"/>
    </row>
    <row r="3" spans="1:9" ht="12" customHeight="1" x14ac:dyDescent="0.25">
      <c r="C3" s="16" t="s">
        <v>2</v>
      </c>
      <c r="D3" s="14"/>
      <c r="E3" s="14"/>
      <c r="F3" s="14"/>
      <c r="G3" s="14"/>
    </row>
    <row r="4" spans="1:9" ht="12" customHeight="1" x14ac:dyDescent="0.25">
      <c r="C4" s="16" t="s">
        <v>3</v>
      </c>
      <c r="D4" s="14"/>
      <c r="E4" s="14"/>
      <c r="F4" s="14"/>
      <c r="G4" s="14"/>
    </row>
    <row r="5" spans="1:9" ht="14.1" customHeight="1" x14ac:dyDescent="0.25">
      <c r="C5" s="15" t="s">
        <v>4</v>
      </c>
      <c r="D5" s="14"/>
      <c r="E5" s="14"/>
      <c r="F5" s="14"/>
      <c r="G5" s="14"/>
    </row>
    <row r="6" spans="1:9" ht="12" customHeight="1" x14ac:dyDescent="0.25">
      <c r="C6" s="13" t="s">
        <v>5</v>
      </c>
      <c r="D6" s="14"/>
      <c r="E6" s="14"/>
      <c r="F6" s="14"/>
      <c r="G6" s="14"/>
    </row>
    <row r="7" spans="1:9" ht="3.95" customHeight="1" x14ac:dyDescent="0.25"/>
    <row r="8" spans="1:9" ht="20.100000000000001" customHeight="1" x14ac:dyDescent="0.25">
      <c r="A8" s="10" t="s">
        <v>6</v>
      </c>
      <c r="B8" s="20"/>
      <c r="C8" s="21"/>
      <c r="D8" s="21"/>
      <c r="E8" s="21"/>
      <c r="F8" s="21"/>
      <c r="G8" s="21"/>
      <c r="H8" s="21"/>
      <c r="I8" s="21"/>
    </row>
    <row r="9" spans="1:9" ht="6" customHeight="1" x14ac:dyDescent="0.25"/>
    <row r="10" spans="1:9" ht="20.100000000000001" customHeight="1" x14ac:dyDescent="0.25">
      <c r="A10" s="1" t="s">
        <v>7</v>
      </c>
      <c r="B10" s="18"/>
      <c r="C10" s="18"/>
      <c r="D10" s="18"/>
      <c r="E10" s="18"/>
      <c r="F10" s="18"/>
      <c r="G10" s="18"/>
      <c r="H10" s="18"/>
      <c r="I10" s="18"/>
    </row>
    <row r="11" spans="1:9" ht="20.100000000000001" customHeight="1" x14ac:dyDescent="0.25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20.100000000000001" customHeight="1" x14ac:dyDescent="0.25">
      <c r="A12" s="1" t="s">
        <v>13</v>
      </c>
      <c r="B12" s="28"/>
      <c r="C12" s="29"/>
      <c r="D12" s="29"/>
      <c r="E12" s="11" t="s">
        <v>14</v>
      </c>
      <c r="F12" s="12"/>
      <c r="G12" s="24"/>
      <c r="H12" s="14"/>
      <c r="I12" s="14"/>
    </row>
    <row r="13" spans="1:9" ht="20.100000000000001" customHeight="1" x14ac:dyDescent="0.25">
      <c r="A13" s="1" t="s">
        <v>15</v>
      </c>
      <c r="B13" s="1" t="s">
        <v>16</v>
      </c>
      <c r="C13" s="25"/>
      <c r="D13" s="14"/>
      <c r="E13" s="1" t="s">
        <v>17</v>
      </c>
      <c r="F13" s="25"/>
      <c r="G13" s="14"/>
      <c r="H13" s="1" t="s">
        <v>18</v>
      </c>
      <c r="I13" s="2"/>
    </row>
    <row r="14" spans="1:9" ht="20.100000000000001" customHeight="1" x14ac:dyDescent="0.25">
      <c r="A14" s="1" t="s">
        <v>19</v>
      </c>
      <c r="B14" s="1" t="s">
        <v>20</v>
      </c>
      <c r="C14" s="2"/>
      <c r="D14" s="1" t="s">
        <v>21</v>
      </c>
      <c r="E14" s="2"/>
      <c r="F14" s="1" t="s">
        <v>22</v>
      </c>
      <c r="G14" s="2"/>
      <c r="H14" s="1" t="s">
        <v>23</v>
      </c>
      <c r="I14" s="2"/>
    </row>
    <row r="15" spans="1:9" ht="6" customHeight="1" x14ac:dyDescent="0.25"/>
    <row r="16" spans="1:9" x14ac:dyDescent="0.25">
      <c r="A16" s="22" t="s">
        <v>24</v>
      </c>
      <c r="B16" s="23"/>
      <c r="C16" s="23"/>
      <c r="D16" s="23"/>
      <c r="E16" s="23"/>
      <c r="F16" s="23"/>
      <c r="G16" s="23"/>
      <c r="H16" s="23"/>
      <c r="I16" s="23"/>
    </row>
    <row r="17" spans="1:9" x14ac:dyDescent="0.25">
      <c r="A17" s="1" t="s">
        <v>25</v>
      </c>
      <c r="B17" s="1" t="s">
        <v>26</v>
      </c>
      <c r="C17" s="2"/>
      <c r="D17" s="1" t="s">
        <v>27</v>
      </c>
      <c r="E17" s="2"/>
      <c r="F17" s="1" t="s">
        <v>28</v>
      </c>
      <c r="G17" s="2"/>
      <c r="H17" s="1" t="s">
        <v>29</v>
      </c>
      <c r="I17" s="3" t="str">
        <f>IF(AND(N(E17)&gt;0,N(G17)&gt;0),ROUND(PI()*POWER(E17,2)*G17/4,1),"")</f>
        <v/>
      </c>
    </row>
    <row r="18" spans="1:9" x14ac:dyDescent="0.25">
      <c r="A18" s="1" t="s">
        <v>30</v>
      </c>
      <c r="B18" s="1" t="s">
        <v>31</v>
      </c>
      <c r="C18" s="2"/>
      <c r="D18" s="1" t="s">
        <v>32</v>
      </c>
      <c r="E18" s="2"/>
      <c r="F18" s="1" t="s">
        <v>33</v>
      </c>
      <c r="G18" s="2"/>
    </row>
    <row r="19" spans="1:9" ht="6" customHeight="1" x14ac:dyDescent="0.25"/>
    <row r="20" spans="1:9" x14ac:dyDescent="0.25">
      <c r="A20" s="22" t="s">
        <v>34</v>
      </c>
      <c r="B20" s="23"/>
      <c r="C20" s="23"/>
      <c r="D20" s="23"/>
      <c r="E20" s="23"/>
      <c r="F20" s="23"/>
      <c r="G20" s="23"/>
      <c r="H20" s="23"/>
      <c r="I20" s="23"/>
    </row>
    <row r="21" spans="1:9" ht="15.95" customHeight="1" x14ac:dyDescent="0.25">
      <c r="A21" s="4" t="s">
        <v>35</v>
      </c>
      <c r="B21" s="4" t="s">
        <v>36</v>
      </c>
      <c r="C21" s="4" t="s">
        <v>37</v>
      </c>
      <c r="D21" s="4" t="s">
        <v>38</v>
      </c>
      <c r="E21" s="4" t="s">
        <v>39</v>
      </c>
    </row>
    <row r="22" spans="1:9" x14ac:dyDescent="0.25">
      <c r="A22" s="5" t="s">
        <v>40</v>
      </c>
      <c r="B22" s="6"/>
      <c r="C22" s="6"/>
      <c r="D22" s="6"/>
      <c r="E22" s="6"/>
    </row>
    <row r="23" spans="1:9" x14ac:dyDescent="0.25">
      <c r="A23" s="5" t="s">
        <v>41</v>
      </c>
      <c r="B23" s="6"/>
      <c r="C23" s="6"/>
      <c r="D23" s="6"/>
      <c r="E23" s="6"/>
    </row>
    <row r="24" spans="1:9" x14ac:dyDescent="0.25">
      <c r="A24" s="5" t="s">
        <v>42</v>
      </c>
      <c r="B24" s="6"/>
      <c r="C24" s="6"/>
      <c r="D24" s="6"/>
      <c r="E24" s="6"/>
    </row>
    <row r="25" spans="1:9" x14ac:dyDescent="0.25">
      <c r="A25" s="5" t="s">
        <v>43</v>
      </c>
      <c r="B25" s="7" t="str">
        <f>IF(COUNT(B22:B23)=2,B23-B22,"")</f>
        <v/>
      </c>
      <c r="C25" s="7" t="str">
        <f>IF(COUNT(C22:C23)=2,C23-C22,"")</f>
        <v/>
      </c>
      <c r="D25" s="7" t="str">
        <f>IF(COUNT(D22:D23)=2,D23-D22,"")</f>
        <v/>
      </c>
      <c r="E25" s="7" t="str">
        <f>IF(COUNT(E22:E23)=2,E23-E22,"")</f>
        <v/>
      </c>
    </row>
    <row r="26" spans="1:9" x14ac:dyDescent="0.25">
      <c r="A26" s="5" t="s">
        <v>44</v>
      </c>
      <c r="B26" s="7">
        <f>IF(N($I$17)&gt;0,$I$17,2124)</f>
        <v>2124</v>
      </c>
      <c r="C26" s="7">
        <f>IF(N($I$17)&gt;0,$I$17,2124)</f>
        <v>2124</v>
      </c>
      <c r="D26" s="7">
        <f>IF(N($I$17)&gt;0,$I$17,2124)</f>
        <v>2124</v>
      </c>
      <c r="E26" s="7">
        <f>IF(N($I$17)&gt;0,$I$17,2124)</f>
        <v>2124</v>
      </c>
    </row>
    <row r="27" spans="1:9" x14ac:dyDescent="0.25">
      <c r="A27" s="5" t="s">
        <v>45</v>
      </c>
      <c r="B27" s="8" t="str">
        <f>IF(AND(ISNUMBER(B25),N(B26)&gt;0),IFERROR(B25/B26,0),"")</f>
        <v/>
      </c>
      <c r="C27" s="8" t="str">
        <f>IF(AND(ISNUMBER(C25),N(C26)&gt;0),IFERROR(C25/C26,0),"")</f>
        <v/>
      </c>
      <c r="D27" s="8" t="str">
        <f>IF(AND(ISNUMBER(D25),N(D26)&gt;0),IFERROR(D25/D26,0),"")</f>
        <v/>
      </c>
      <c r="E27" s="8" t="str">
        <f>IF(AND(ISNUMBER(E25),N(E26)&gt;0),IFERROR(E25/E26,0),"")</f>
        <v/>
      </c>
    </row>
    <row r="28" spans="1:9" ht="6" customHeight="1" x14ac:dyDescent="0.25"/>
    <row r="30" spans="1:9" x14ac:dyDescent="0.25">
      <c r="A30" s="22" t="s">
        <v>46</v>
      </c>
      <c r="B30" s="23"/>
      <c r="C30" s="23"/>
      <c r="D30" s="23"/>
      <c r="E30" s="23"/>
      <c r="F30" s="23"/>
      <c r="G30" s="23"/>
      <c r="H30" s="23"/>
      <c r="I30" s="23"/>
    </row>
    <row r="31" spans="1:9" ht="15.95" customHeight="1" x14ac:dyDescent="0.25">
      <c r="A31" s="4" t="s">
        <v>35</v>
      </c>
      <c r="B31" s="4" t="s">
        <v>36</v>
      </c>
      <c r="C31" s="4" t="s">
        <v>37</v>
      </c>
      <c r="D31" s="4" t="s">
        <v>38</v>
      </c>
      <c r="E31" s="4" t="s">
        <v>39</v>
      </c>
    </row>
    <row r="32" spans="1:9" x14ac:dyDescent="0.25">
      <c r="A32" s="5" t="s">
        <v>47</v>
      </c>
      <c r="B32" s="5"/>
      <c r="C32" s="5"/>
      <c r="D32" s="5"/>
      <c r="E32" s="5"/>
    </row>
    <row r="33" spans="1:9" x14ac:dyDescent="0.25">
      <c r="A33" s="5" t="s">
        <v>48</v>
      </c>
      <c r="B33" s="6"/>
      <c r="C33" s="6"/>
      <c r="D33" s="6"/>
      <c r="E33" s="6"/>
    </row>
    <row r="34" spans="1:9" x14ac:dyDescent="0.25">
      <c r="A34" s="5" t="s">
        <v>49</v>
      </c>
      <c r="B34" s="6"/>
      <c r="C34" s="6"/>
      <c r="D34" s="6"/>
      <c r="E34" s="6"/>
    </row>
    <row r="35" spans="1:9" x14ac:dyDescent="0.25">
      <c r="A35" s="5" t="s">
        <v>50</v>
      </c>
      <c r="B35" s="6"/>
      <c r="C35" s="6"/>
      <c r="D35" s="6"/>
      <c r="E35" s="6"/>
    </row>
    <row r="36" spans="1:9" x14ac:dyDescent="0.25">
      <c r="A36" s="5" t="s">
        <v>51</v>
      </c>
      <c r="B36" s="7" t="str">
        <f>IF(COUNT(B34:B35)=2,B34-B35,"")</f>
        <v/>
      </c>
      <c r="C36" s="7" t="str">
        <f>IF(COUNT(C34:C35)=2,C34-C35,"")</f>
        <v/>
      </c>
      <c r="D36" s="7" t="str">
        <f>IF(COUNT(D34:D35)=2,D34-D35,"")</f>
        <v/>
      </c>
      <c r="E36" s="7" t="str">
        <f>IF(COUNT(E34:E35)=2,E34-E35,"")</f>
        <v/>
      </c>
    </row>
    <row r="37" spans="1:9" x14ac:dyDescent="0.25">
      <c r="A37" s="5" t="s">
        <v>52</v>
      </c>
      <c r="B37" s="7" t="str">
        <f>IF(COUNT(B33,B35)=2,B35-B33,"")</f>
        <v/>
      </c>
      <c r="C37" s="7" t="str">
        <f>IF(COUNT(C33,C35)=2,C35-C33,"")</f>
        <v/>
      </c>
      <c r="D37" s="7" t="str">
        <f>IF(COUNT(D33,D35)=2,D35-D33,"")</f>
        <v/>
      </c>
      <c r="E37" s="7" t="str">
        <f>IF(COUNT(E33,E35)=2,E35-E33,"")</f>
        <v/>
      </c>
    </row>
    <row r="38" spans="1:9" x14ac:dyDescent="0.25">
      <c r="A38" s="5" t="s">
        <v>53</v>
      </c>
      <c r="B38" s="7" t="str">
        <f>IF(AND(ISNUMBER(B37),N(B37)&gt;0),IFERROR(B36/B37*100,0),"")</f>
        <v/>
      </c>
      <c r="C38" s="7" t="str">
        <f>IF(AND(ISNUMBER(C37),N(C37)&gt;0),IFERROR(C36/C37*100,0),"")</f>
        <v/>
      </c>
      <c r="D38" s="7" t="str">
        <f>IF(AND(ISNUMBER(D37),N(D37)&gt;0),IFERROR(D36/D37*100,0),"")</f>
        <v/>
      </c>
      <c r="E38" s="7" t="str">
        <f>IF(AND(ISNUMBER(E37),N(E37)&gt;0),IFERROR(E36/E37*100,0),"")</f>
        <v/>
      </c>
    </row>
    <row r="39" spans="1:9" x14ac:dyDescent="0.25">
      <c r="A39" s="5" t="s">
        <v>54</v>
      </c>
      <c r="B39" s="8" t="str">
        <f>IF(AND(ISNUMBER(B38),ISNUMBER(B27)),IFERROR(B27/(1+B38/100),0),"")</f>
        <v/>
      </c>
      <c r="C39" s="8" t="str">
        <f>IF(AND(ISNUMBER(C38),ISNUMBER(C27)),IFERROR(C27/(1+C38/100),0),"")</f>
        <v/>
      </c>
      <c r="D39" s="8" t="str">
        <f>IF(AND(ISNUMBER(D38),ISNUMBER(D27)),IFERROR(D27/(1+D38/100),0),"")</f>
        <v/>
      </c>
      <c r="E39" s="8" t="str">
        <f>IF(AND(ISNUMBER(E38),ISNUMBER(E27)),IFERROR(E27/(1+E38/100),0),"")</f>
        <v/>
      </c>
    </row>
    <row r="41" spans="1:9" x14ac:dyDescent="0.25">
      <c r="A41" s="1" t="s">
        <v>55</v>
      </c>
      <c r="B41" s="17" t="str">
        <f>IF(ISNUMBER(_DATOS!$F$5),_DATOS!$F$5,"")</f>
        <v/>
      </c>
      <c r="C41" s="18"/>
      <c r="D41" s="18"/>
      <c r="E41" s="18"/>
    </row>
    <row r="42" spans="1:9" x14ac:dyDescent="0.25">
      <c r="A42" s="1" t="s">
        <v>56</v>
      </c>
      <c r="B42" s="27" t="str">
        <f>IF(ISNUMBER(_DATOS!$F$4),_DATOS!$F$4,"")</f>
        <v/>
      </c>
      <c r="C42" s="18"/>
      <c r="D42" s="18"/>
      <c r="E42" s="18"/>
    </row>
    <row r="43" spans="1:9" ht="6" customHeight="1" x14ac:dyDescent="0.25"/>
    <row r="45" spans="1:9" x14ac:dyDescent="0.25">
      <c r="A45" s="22" t="s">
        <v>57</v>
      </c>
      <c r="B45" s="23"/>
      <c r="C45" s="23"/>
      <c r="D45" s="23"/>
      <c r="E45" s="23"/>
      <c r="F45" s="23"/>
      <c r="G45" s="23"/>
      <c r="H45" s="23"/>
      <c r="I45" s="23"/>
    </row>
    <row r="76" spans="1:9" x14ac:dyDescent="0.25">
      <c r="A76" s="9"/>
      <c r="B76" s="9"/>
      <c r="C76" s="9"/>
      <c r="D76" s="9"/>
      <c r="E76" s="9"/>
      <c r="F76" s="9"/>
      <c r="G76" s="9"/>
      <c r="H76" s="9"/>
      <c r="I76" s="9"/>
    </row>
    <row r="77" spans="1:9" x14ac:dyDescent="0.25">
      <c r="A77" s="26" t="s">
        <v>58</v>
      </c>
      <c r="B77" s="14"/>
      <c r="C77" s="14"/>
      <c r="D77" s="26" t="s">
        <v>59</v>
      </c>
      <c r="E77" s="14"/>
      <c r="F77" s="14"/>
      <c r="G77" s="26" t="s">
        <v>60</v>
      </c>
      <c r="H77" s="14"/>
      <c r="I77" s="14"/>
    </row>
  </sheetData>
  <mergeCells count="23">
    <mergeCell ref="A77:C77"/>
    <mergeCell ref="B42:E42"/>
    <mergeCell ref="A30:I30"/>
    <mergeCell ref="G77:I77"/>
    <mergeCell ref="A45:I45"/>
    <mergeCell ref="D77:F77"/>
    <mergeCell ref="B41:E41"/>
    <mergeCell ref="C1:G1"/>
    <mergeCell ref="B8:I8"/>
    <mergeCell ref="A20:I20"/>
    <mergeCell ref="C2:G2"/>
    <mergeCell ref="B10:I10"/>
    <mergeCell ref="G12:I12"/>
    <mergeCell ref="F13:G13"/>
    <mergeCell ref="C13:D13"/>
    <mergeCell ref="B12:D12"/>
    <mergeCell ref="A16:I16"/>
    <mergeCell ref="A8"/>
    <mergeCell ref="E12:F12"/>
    <mergeCell ref="C6:G6"/>
    <mergeCell ref="C5:G5"/>
    <mergeCell ref="C3:G3"/>
    <mergeCell ref="C4:G4"/>
  </mergeCells>
  <pageMargins left="0.35" right="0.35" top="0.45" bottom="0.45" header="0.5" footer="0.5"/>
  <pageSetup paperSize="9" fitToHeight="0" orientation="portrait"/>
  <rowBreaks count="1" manualBreakCount="1">
    <brk id="4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2"/>
  <sheetViews>
    <sheetView workbookViewId="0"/>
  </sheetViews>
  <sheetFormatPr baseColWidth="10" defaultColWidth="9.140625" defaultRowHeight="15" x14ac:dyDescent="0.25"/>
  <sheetData>
    <row r="1" spans="1:12" x14ac:dyDescent="0.25">
      <c r="F1" t="str">
        <f>IFERROR(INDEX(LINEST(B3:B6,A3:A6^{1,2}),1,1),"")</f>
        <v/>
      </c>
    </row>
    <row r="2" spans="1:12" x14ac:dyDescent="0.25">
      <c r="F2" t="str">
        <f>IFERROR(INDEX(LINEST(B3:B6,A3:A6^{1,2}),1,2),"")</f>
        <v/>
      </c>
    </row>
    <row r="3" spans="1:12" x14ac:dyDescent="0.25">
      <c r="A3" t="e">
        <f>IF(OR(NOT(ISNUMBER(Reporte!B38)),NOT(ISNUMBER(Reporte!B39)),Reporte!B39=0),NA(),Reporte!B38)</f>
        <v>#N/A</v>
      </c>
      <c r="B3" t="e">
        <f>IF(ISNA(A3),NA(),Reporte!B39)</f>
        <v>#N/A</v>
      </c>
      <c r="F3" t="str">
        <f>IFERROR(INDEX(LINEST(B3:B6,A3:A6^{1,2}),1,3),"")</f>
        <v/>
      </c>
      <c r="H3" t="e">
        <f t="shared" ref="H3:H22" si="0">IF(OR(NOT(ISNUMBER($F$1)),NOT(ISNUMBER($F$4))),NA(),$F$4+(ROW()-13)*0.5)</f>
        <v>#N/A</v>
      </c>
      <c r="I3" t="e">
        <f t="shared" ref="I3:I22" si="1">IF(ISNA(H3),NA(),$F$1*H3^2+$F$2*H3+$F$3)</f>
        <v>#N/A</v>
      </c>
      <c r="K3" t="e">
        <f>IF(ISNUMBER($F$4),$F$4,NA())</f>
        <v>#N/A</v>
      </c>
      <c r="L3" t="e">
        <f>IF(ISNUMBER($F$5),$F$5,NA())</f>
        <v>#N/A</v>
      </c>
    </row>
    <row r="4" spans="1:12" x14ac:dyDescent="0.25">
      <c r="A4" t="e">
        <f>IF(OR(NOT(ISNUMBER(Reporte!C38)),NOT(ISNUMBER(Reporte!C39)),Reporte!C39=0),NA(),Reporte!C38)</f>
        <v>#N/A</v>
      </c>
      <c r="B4" t="e">
        <f>IF(ISNA(A4),NA(),Reporte!C39)</f>
        <v>#N/A</v>
      </c>
      <c r="F4" t="str">
        <f>IF(AND(ISNUMBER(F1),N(F1)&lt;&gt;0),-F2/(2*F1),"")</f>
        <v/>
      </c>
      <c r="H4" t="e">
        <f t="shared" si="0"/>
        <v>#N/A</v>
      </c>
      <c r="I4" t="e">
        <f t="shared" si="1"/>
        <v>#N/A</v>
      </c>
    </row>
    <row r="5" spans="1:12" x14ac:dyDescent="0.25">
      <c r="A5" t="e">
        <f>IF(OR(NOT(ISNUMBER(Reporte!D38)),NOT(ISNUMBER(Reporte!D39)),Reporte!D39=0),NA(),Reporte!D38)</f>
        <v>#N/A</v>
      </c>
      <c r="B5" t="e">
        <f>IF(ISNA(A5),NA(),Reporte!D39)</f>
        <v>#N/A</v>
      </c>
      <c r="F5" t="str">
        <f>IF(ISNUMBER(F4),F1*F4^2+F2*F4+F3,"")</f>
        <v/>
      </c>
      <c r="H5" t="e">
        <f t="shared" si="0"/>
        <v>#N/A</v>
      </c>
      <c r="I5" t="e">
        <f t="shared" si="1"/>
        <v>#N/A</v>
      </c>
    </row>
    <row r="6" spans="1:12" x14ac:dyDescent="0.25">
      <c r="A6" t="e">
        <f>IF(OR(NOT(ISNUMBER(Reporte!E38)),NOT(ISNUMBER(Reporte!E39)),Reporte!E39=0),NA(),Reporte!E38)</f>
        <v>#N/A</v>
      </c>
      <c r="B6" t="e">
        <f>IF(ISNA(A6),NA(),Reporte!E39)</f>
        <v>#N/A</v>
      </c>
      <c r="H6" t="e">
        <f t="shared" si="0"/>
        <v>#N/A</v>
      </c>
      <c r="I6" t="e">
        <f t="shared" si="1"/>
        <v>#N/A</v>
      </c>
    </row>
    <row r="7" spans="1:12" x14ac:dyDescent="0.25">
      <c r="H7" t="e">
        <f t="shared" si="0"/>
        <v>#N/A</v>
      </c>
      <c r="I7" t="e">
        <f t="shared" si="1"/>
        <v>#N/A</v>
      </c>
    </row>
    <row r="8" spans="1:12" x14ac:dyDescent="0.25">
      <c r="H8" t="e">
        <f t="shared" si="0"/>
        <v>#N/A</v>
      </c>
      <c r="I8" t="e">
        <f t="shared" si="1"/>
        <v>#N/A</v>
      </c>
    </row>
    <row r="9" spans="1:12" x14ac:dyDescent="0.25">
      <c r="H9" t="e">
        <f t="shared" si="0"/>
        <v>#N/A</v>
      </c>
      <c r="I9" t="e">
        <f t="shared" si="1"/>
        <v>#N/A</v>
      </c>
    </row>
    <row r="10" spans="1:12" x14ac:dyDescent="0.25">
      <c r="H10" t="e">
        <f t="shared" si="0"/>
        <v>#N/A</v>
      </c>
      <c r="I10" t="e">
        <f t="shared" si="1"/>
        <v>#N/A</v>
      </c>
    </row>
    <row r="11" spans="1:12" x14ac:dyDescent="0.25">
      <c r="H11" t="e">
        <f t="shared" si="0"/>
        <v>#N/A</v>
      </c>
      <c r="I11" t="e">
        <f t="shared" si="1"/>
        <v>#N/A</v>
      </c>
    </row>
    <row r="12" spans="1:12" x14ac:dyDescent="0.25">
      <c r="H12" t="e">
        <f t="shared" si="0"/>
        <v>#N/A</v>
      </c>
      <c r="I12" t="e">
        <f t="shared" si="1"/>
        <v>#N/A</v>
      </c>
    </row>
    <row r="13" spans="1:12" x14ac:dyDescent="0.25">
      <c r="H13" t="e">
        <f t="shared" si="0"/>
        <v>#N/A</v>
      </c>
      <c r="I13" t="e">
        <f t="shared" si="1"/>
        <v>#N/A</v>
      </c>
    </row>
    <row r="14" spans="1:12" x14ac:dyDescent="0.25">
      <c r="H14" t="e">
        <f t="shared" si="0"/>
        <v>#N/A</v>
      </c>
      <c r="I14" t="e">
        <f t="shared" si="1"/>
        <v>#N/A</v>
      </c>
    </row>
    <row r="15" spans="1:12" x14ac:dyDescent="0.25">
      <c r="H15" t="e">
        <f t="shared" si="0"/>
        <v>#N/A</v>
      </c>
      <c r="I15" t="e">
        <f t="shared" si="1"/>
        <v>#N/A</v>
      </c>
    </row>
    <row r="16" spans="1:12" x14ac:dyDescent="0.25">
      <c r="H16" t="e">
        <f t="shared" si="0"/>
        <v>#N/A</v>
      </c>
      <c r="I16" t="e">
        <f t="shared" si="1"/>
        <v>#N/A</v>
      </c>
    </row>
    <row r="17" spans="8:9" x14ac:dyDescent="0.25">
      <c r="H17" t="e">
        <f t="shared" si="0"/>
        <v>#N/A</v>
      </c>
      <c r="I17" t="e">
        <f t="shared" si="1"/>
        <v>#N/A</v>
      </c>
    </row>
    <row r="18" spans="8:9" x14ac:dyDescent="0.25">
      <c r="H18" t="e">
        <f t="shared" si="0"/>
        <v>#N/A</v>
      </c>
      <c r="I18" t="e">
        <f t="shared" si="1"/>
        <v>#N/A</v>
      </c>
    </row>
    <row r="19" spans="8:9" x14ac:dyDescent="0.25">
      <c r="H19" t="e">
        <f t="shared" si="0"/>
        <v>#N/A</v>
      </c>
      <c r="I19" t="e">
        <f t="shared" si="1"/>
        <v>#N/A</v>
      </c>
    </row>
    <row r="20" spans="8:9" x14ac:dyDescent="0.25">
      <c r="H20" t="e">
        <f t="shared" si="0"/>
        <v>#N/A</v>
      </c>
      <c r="I20" t="e">
        <f t="shared" si="1"/>
        <v>#N/A</v>
      </c>
    </row>
    <row r="21" spans="8:9" x14ac:dyDescent="0.25">
      <c r="H21" t="e">
        <f t="shared" si="0"/>
        <v>#N/A</v>
      </c>
      <c r="I21" t="e">
        <f t="shared" si="1"/>
        <v>#N/A</v>
      </c>
    </row>
    <row r="22" spans="8:9" x14ac:dyDescent="0.25">
      <c r="H22" t="e">
        <f t="shared" si="0"/>
        <v>#N/A</v>
      </c>
      <c r="I22" t="e">
        <f t="shared" si="1"/>
        <v>#N/A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4"/>
  <sheetViews>
    <sheetView workbookViewId="0"/>
  </sheetViews>
  <sheetFormatPr baseColWidth="10" defaultColWidth="9.140625" defaultRowHeight="15" x14ac:dyDescent="0.25"/>
  <sheetData>
    <row r="1" spans="1:19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</row>
    <row r="2" spans="1:19" x14ac:dyDescent="0.25">
      <c r="A2" t="s">
        <v>80</v>
      </c>
      <c r="B2" t="s">
        <v>81</v>
      </c>
      <c r="C2" t="s">
        <v>82</v>
      </c>
      <c r="D2" t="s">
        <v>83</v>
      </c>
      <c r="E2">
        <v>620</v>
      </c>
      <c r="F2">
        <v>480</v>
      </c>
      <c r="G2" t="s">
        <v>84</v>
      </c>
      <c r="L2" t="s">
        <v>85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>
        <v>1</v>
      </c>
    </row>
    <row r="3" spans="1:19" x14ac:dyDescent="0.25">
      <c r="A3" t="s">
        <v>80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>
        <v>2</v>
      </c>
    </row>
    <row r="4" spans="1:19" x14ac:dyDescent="0.25">
      <c r="A4" t="s">
        <v>80</v>
      </c>
      <c r="N4" t="s">
        <v>97</v>
      </c>
      <c r="O4" t="s">
        <v>93</v>
      </c>
      <c r="P4" t="s">
        <v>98</v>
      </c>
      <c r="Q4" t="s">
        <v>99</v>
      </c>
      <c r="R4" t="s">
        <v>100</v>
      </c>
      <c r="S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50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101</v>
      </c>
      <c r="B1" t="s">
        <v>102</v>
      </c>
      <c r="C1" t="s">
        <v>63</v>
      </c>
      <c r="D1" t="s">
        <v>103</v>
      </c>
    </row>
    <row r="2" spans="1:4" x14ac:dyDescent="0.25">
      <c r="A2" t="s">
        <v>104</v>
      </c>
      <c r="B2" t="s">
        <v>105</v>
      </c>
      <c r="C2" t="s">
        <v>106</v>
      </c>
    </row>
    <row r="3" spans="1:4" x14ac:dyDescent="0.25">
      <c r="A3" t="s">
        <v>107</v>
      </c>
      <c r="B3" t="s">
        <v>108</v>
      </c>
      <c r="C3" t="s">
        <v>106</v>
      </c>
    </row>
    <row r="4" spans="1:4" x14ac:dyDescent="0.25">
      <c r="A4" t="s">
        <v>109</v>
      </c>
      <c r="B4" t="s">
        <v>110</v>
      </c>
      <c r="C4" t="s">
        <v>106</v>
      </c>
    </row>
    <row r="5" spans="1:4" x14ac:dyDescent="0.25">
      <c r="A5" t="s">
        <v>111</v>
      </c>
      <c r="B5" t="s">
        <v>112</v>
      </c>
      <c r="C5" t="s">
        <v>106</v>
      </c>
    </row>
    <row r="6" spans="1:4" x14ac:dyDescent="0.25">
      <c r="A6" t="s">
        <v>113</v>
      </c>
      <c r="B6" t="s">
        <v>114</v>
      </c>
      <c r="C6" t="s">
        <v>106</v>
      </c>
    </row>
    <row r="7" spans="1:4" x14ac:dyDescent="0.25">
      <c r="A7" t="s">
        <v>115</v>
      </c>
      <c r="B7" t="s">
        <v>116</v>
      </c>
      <c r="C7" t="s">
        <v>106</v>
      </c>
    </row>
    <row r="8" spans="1:4" x14ac:dyDescent="0.25">
      <c r="A8" t="s">
        <v>117</v>
      </c>
      <c r="B8" t="s">
        <v>118</v>
      </c>
      <c r="C8" t="s">
        <v>106</v>
      </c>
    </row>
    <row r="9" spans="1:4" x14ac:dyDescent="0.25">
      <c r="A9" t="s">
        <v>119</v>
      </c>
      <c r="B9" t="s">
        <v>120</v>
      </c>
      <c r="C9" t="s">
        <v>121</v>
      </c>
      <c r="D9" t="s">
        <v>122</v>
      </c>
    </row>
    <row r="10" spans="1:4" x14ac:dyDescent="0.25">
      <c r="A10" t="s">
        <v>123</v>
      </c>
      <c r="B10" t="s">
        <v>124</v>
      </c>
      <c r="C10" t="s">
        <v>125</v>
      </c>
      <c r="D10" t="s">
        <v>126</v>
      </c>
    </row>
    <row r="11" spans="1:4" x14ac:dyDescent="0.25">
      <c r="A11" t="s">
        <v>127</v>
      </c>
      <c r="B11" t="s">
        <v>128</v>
      </c>
      <c r="C11" t="s">
        <v>125</v>
      </c>
      <c r="D11" t="s">
        <v>126</v>
      </c>
    </row>
    <row r="12" spans="1:4" x14ac:dyDescent="0.25">
      <c r="A12" t="s">
        <v>129</v>
      </c>
      <c r="B12" t="s">
        <v>130</v>
      </c>
      <c r="C12" t="s">
        <v>106</v>
      </c>
    </row>
    <row r="13" spans="1:4" x14ac:dyDescent="0.25">
      <c r="A13" t="s">
        <v>131</v>
      </c>
      <c r="B13" t="s">
        <v>132</v>
      </c>
      <c r="C13" t="s">
        <v>106</v>
      </c>
    </row>
    <row r="14" spans="1:4" x14ac:dyDescent="0.25">
      <c r="A14" t="s">
        <v>133</v>
      </c>
      <c r="B14" t="s">
        <v>134</v>
      </c>
      <c r="C14" t="s">
        <v>106</v>
      </c>
    </row>
    <row r="15" spans="1:4" x14ac:dyDescent="0.25">
      <c r="A15" t="s">
        <v>135</v>
      </c>
      <c r="B15" t="s">
        <v>136</v>
      </c>
      <c r="C15" t="s">
        <v>106</v>
      </c>
    </row>
    <row r="16" spans="1:4" x14ac:dyDescent="0.25">
      <c r="A16" t="s">
        <v>137</v>
      </c>
      <c r="B16" t="s">
        <v>138</v>
      </c>
      <c r="C16" t="s">
        <v>106</v>
      </c>
    </row>
    <row r="17" spans="1:4" x14ac:dyDescent="0.25">
      <c r="A17" t="s">
        <v>139</v>
      </c>
      <c r="B17" t="s">
        <v>140</v>
      </c>
      <c r="C17" t="s">
        <v>106</v>
      </c>
    </row>
    <row r="18" spans="1:4" x14ac:dyDescent="0.25">
      <c r="A18" t="s">
        <v>141</v>
      </c>
      <c r="B18" t="s">
        <v>142</v>
      </c>
      <c r="C18" t="s">
        <v>125</v>
      </c>
      <c r="D18" t="s">
        <v>126</v>
      </c>
    </row>
    <row r="19" spans="1:4" x14ac:dyDescent="0.25">
      <c r="A19" t="s">
        <v>143</v>
      </c>
      <c r="B19" t="s">
        <v>144</v>
      </c>
      <c r="C19" t="s">
        <v>125</v>
      </c>
      <c r="D19" t="s">
        <v>126</v>
      </c>
    </row>
    <row r="20" spans="1:4" x14ac:dyDescent="0.25">
      <c r="A20" t="s">
        <v>145</v>
      </c>
      <c r="B20" t="s">
        <v>146</v>
      </c>
      <c r="C20" t="s">
        <v>125</v>
      </c>
      <c r="D20" t="s">
        <v>147</v>
      </c>
    </row>
    <row r="21" spans="1:4" x14ac:dyDescent="0.25">
      <c r="A21" t="s">
        <v>148</v>
      </c>
      <c r="B21" t="s">
        <v>149</v>
      </c>
      <c r="C21" t="s">
        <v>125</v>
      </c>
      <c r="D21" t="s">
        <v>147</v>
      </c>
    </row>
    <row r="22" spans="1:4" x14ac:dyDescent="0.25">
      <c r="A22" t="s">
        <v>150</v>
      </c>
      <c r="B22" t="s">
        <v>151</v>
      </c>
      <c r="C22" t="s">
        <v>125</v>
      </c>
      <c r="D22" t="s">
        <v>147</v>
      </c>
    </row>
    <row r="23" spans="1:4" x14ac:dyDescent="0.25">
      <c r="A23" t="s">
        <v>152</v>
      </c>
      <c r="B23" t="s">
        <v>153</v>
      </c>
      <c r="C23" t="s">
        <v>125</v>
      </c>
      <c r="D23" t="s">
        <v>126</v>
      </c>
    </row>
    <row r="24" spans="1:4" x14ac:dyDescent="0.25">
      <c r="A24" t="s">
        <v>154</v>
      </c>
      <c r="B24" t="s">
        <v>155</v>
      </c>
      <c r="C24" t="s">
        <v>125</v>
      </c>
      <c r="D24" t="s">
        <v>126</v>
      </c>
    </row>
    <row r="25" spans="1:4" x14ac:dyDescent="0.25">
      <c r="A25" t="s">
        <v>156</v>
      </c>
      <c r="B25" t="s">
        <v>157</v>
      </c>
      <c r="C25" t="s">
        <v>125</v>
      </c>
      <c r="D25" t="s">
        <v>126</v>
      </c>
    </row>
    <row r="26" spans="1:4" x14ac:dyDescent="0.25">
      <c r="A26" t="s">
        <v>158</v>
      </c>
      <c r="B26" t="s">
        <v>159</v>
      </c>
      <c r="C26" t="s">
        <v>125</v>
      </c>
      <c r="D26" t="s">
        <v>126</v>
      </c>
    </row>
    <row r="27" spans="1:4" x14ac:dyDescent="0.25">
      <c r="A27" t="s">
        <v>160</v>
      </c>
      <c r="B27" t="s">
        <v>161</v>
      </c>
      <c r="C27" t="s">
        <v>125</v>
      </c>
      <c r="D27" t="s">
        <v>126</v>
      </c>
    </row>
    <row r="28" spans="1:4" x14ac:dyDescent="0.25">
      <c r="A28" t="s">
        <v>162</v>
      </c>
      <c r="B28" t="s">
        <v>163</v>
      </c>
      <c r="C28" t="s">
        <v>125</v>
      </c>
      <c r="D28" t="s">
        <v>126</v>
      </c>
    </row>
    <row r="29" spans="1:4" x14ac:dyDescent="0.25">
      <c r="A29" t="s">
        <v>164</v>
      </c>
      <c r="B29" t="s">
        <v>165</v>
      </c>
      <c r="C29" t="s">
        <v>125</v>
      </c>
      <c r="D29" t="s">
        <v>126</v>
      </c>
    </row>
    <row r="30" spans="1:4" x14ac:dyDescent="0.25">
      <c r="A30" t="s">
        <v>166</v>
      </c>
      <c r="B30" t="s">
        <v>167</v>
      </c>
      <c r="C30" t="s">
        <v>125</v>
      </c>
      <c r="D30" t="s">
        <v>126</v>
      </c>
    </row>
    <row r="31" spans="1:4" x14ac:dyDescent="0.25">
      <c r="A31" t="s">
        <v>168</v>
      </c>
      <c r="B31" t="s">
        <v>169</v>
      </c>
      <c r="C31" t="s">
        <v>125</v>
      </c>
      <c r="D31" t="s">
        <v>126</v>
      </c>
    </row>
    <row r="32" spans="1:4" x14ac:dyDescent="0.25">
      <c r="A32" t="s">
        <v>170</v>
      </c>
      <c r="B32" t="s">
        <v>171</v>
      </c>
      <c r="C32" t="s">
        <v>125</v>
      </c>
      <c r="D32" t="s">
        <v>126</v>
      </c>
    </row>
    <row r="33" spans="1:4" x14ac:dyDescent="0.25">
      <c r="A33" t="s">
        <v>172</v>
      </c>
      <c r="B33" t="s">
        <v>173</v>
      </c>
      <c r="C33" t="s">
        <v>125</v>
      </c>
      <c r="D33" t="s">
        <v>126</v>
      </c>
    </row>
    <row r="34" spans="1:4" x14ac:dyDescent="0.25">
      <c r="A34" t="s">
        <v>174</v>
      </c>
      <c r="B34" t="s">
        <v>175</v>
      </c>
      <c r="C34" t="s">
        <v>125</v>
      </c>
      <c r="D34" t="s">
        <v>126</v>
      </c>
    </row>
    <row r="35" spans="1:4" x14ac:dyDescent="0.25">
      <c r="A35" t="s">
        <v>176</v>
      </c>
      <c r="B35" t="s">
        <v>177</v>
      </c>
      <c r="C35" t="s">
        <v>106</v>
      </c>
    </row>
    <row r="36" spans="1:4" x14ac:dyDescent="0.25">
      <c r="A36" t="s">
        <v>178</v>
      </c>
      <c r="B36" t="s">
        <v>179</v>
      </c>
      <c r="C36" t="s">
        <v>125</v>
      </c>
      <c r="D36" t="s">
        <v>126</v>
      </c>
    </row>
    <row r="37" spans="1:4" x14ac:dyDescent="0.25">
      <c r="A37" t="s">
        <v>180</v>
      </c>
      <c r="B37" t="s">
        <v>181</v>
      </c>
      <c r="C37" t="s">
        <v>125</v>
      </c>
      <c r="D37" t="s">
        <v>126</v>
      </c>
    </row>
    <row r="38" spans="1:4" x14ac:dyDescent="0.25">
      <c r="A38" t="s">
        <v>182</v>
      </c>
      <c r="B38" t="s">
        <v>183</v>
      </c>
      <c r="C38" t="s">
        <v>125</v>
      </c>
      <c r="D38" t="s">
        <v>126</v>
      </c>
    </row>
    <row r="39" spans="1:4" x14ac:dyDescent="0.25">
      <c r="A39" t="s">
        <v>184</v>
      </c>
      <c r="B39" t="s">
        <v>185</v>
      </c>
      <c r="C39" t="s">
        <v>106</v>
      </c>
    </row>
    <row r="40" spans="1:4" x14ac:dyDescent="0.25">
      <c r="A40" t="s">
        <v>186</v>
      </c>
      <c r="B40" t="s">
        <v>187</v>
      </c>
      <c r="C40" t="s">
        <v>125</v>
      </c>
      <c r="D40" t="s">
        <v>126</v>
      </c>
    </row>
    <row r="41" spans="1:4" x14ac:dyDescent="0.25">
      <c r="A41" t="s">
        <v>188</v>
      </c>
      <c r="B41" t="s">
        <v>189</v>
      </c>
      <c r="C41" t="s">
        <v>125</v>
      </c>
      <c r="D41" t="s">
        <v>126</v>
      </c>
    </row>
    <row r="42" spans="1:4" x14ac:dyDescent="0.25">
      <c r="A42" t="s">
        <v>190</v>
      </c>
      <c r="B42" t="s">
        <v>191</v>
      </c>
      <c r="C42" t="s">
        <v>125</v>
      </c>
      <c r="D42" t="s">
        <v>126</v>
      </c>
    </row>
    <row r="43" spans="1:4" x14ac:dyDescent="0.25">
      <c r="A43" t="s">
        <v>192</v>
      </c>
      <c r="B43" t="s">
        <v>193</v>
      </c>
      <c r="C43" t="s">
        <v>106</v>
      </c>
    </row>
    <row r="44" spans="1:4" x14ac:dyDescent="0.25">
      <c r="A44" t="s">
        <v>194</v>
      </c>
      <c r="B44" t="s">
        <v>195</v>
      </c>
      <c r="C44" t="s">
        <v>125</v>
      </c>
      <c r="D44" t="s">
        <v>126</v>
      </c>
    </row>
    <row r="45" spans="1:4" x14ac:dyDescent="0.25">
      <c r="A45" t="s">
        <v>196</v>
      </c>
      <c r="B45" t="s">
        <v>197</v>
      </c>
      <c r="C45" t="s">
        <v>125</v>
      </c>
      <c r="D45" t="s">
        <v>126</v>
      </c>
    </row>
    <row r="46" spans="1:4" x14ac:dyDescent="0.25">
      <c r="A46" t="s">
        <v>198</v>
      </c>
      <c r="B46" t="s">
        <v>199</v>
      </c>
      <c r="C46" t="s">
        <v>125</v>
      </c>
      <c r="D46" t="s">
        <v>126</v>
      </c>
    </row>
    <row r="47" spans="1:4" x14ac:dyDescent="0.25">
      <c r="A47" t="s">
        <v>200</v>
      </c>
      <c r="B47" t="s">
        <v>201</v>
      </c>
      <c r="C47" t="s">
        <v>106</v>
      </c>
    </row>
    <row r="48" spans="1:4" x14ac:dyDescent="0.25">
      <c r="A48" t="s">
        <v>202</v>
      </c>
      <c r="B48" t="s">
        <v>203</v>
      </c>
      <c r="C48" t="s">
        <v>125</v>
      </c>
      <c r="D48" t="s">
        <v>126</v>
      </c>
    </row>
    <row r="49" spans="1:4" x14ac:dyDescent="0.25">
      <c r="A49" t="s">
        <v>204</v>
      </c>
      <c r="B49" t="s">
        <v>205</v>
      </c>
      <c r="C49" t="s">
        <v>125</v>
      </c>
      <c r="D49" t="s">
        <v>126</v>
      </c>
    </row>
    <row r="50" spans="1:4" x14ac:dyDescent="0.25">
      <c r="A50" t="s">
        <v>206</v>
      </c>
      <c r="B50" t="s">
        <v>207</v>
      </c>
      <c r="C50" t="s">
        <v>125</v>
      </c>
      <c r="D50" t="s">
        <v>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Reporte</vt:lpstr>
      <vt:lpstr>_DATOS</vt:lpstr>
      <vt:lpstr>_GRAFICOS</vt:lpstr>
      <vt:lpstr>_MAPA</vt:lpstr>
      <vt:lpstr>AjusteX</vt:lpstr>
      <vt:lpstr>AjusteY</vt:lpstr>
      <vt:lpstr>Reporte!Área_de_impresión</vt:lpstr>
      <vt:lpstr>CurvaX</vt:lpstr>
      <vt:lpstr>CurvaY</vt:lpstr>
      <vt:lpstr>MDSX</vt:lpstr>
      <vt:lpstr>MDSY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2026-09-04T16:25:09Z</dcterms:created>
  <dcterms:modified xsi:type="dcterms:W3CDTF">2026-09-04T16:25:16Z</dcterms:modified>
</cp:coreProperties>
</file>