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  <sheet name="_DATOS" sheetId="2" state="hidden" r:id="rId2"/>
    <sheet name="_GRAFICOS" sheetId="3" state="hidden" r:id="rId3"/>
    <sheet name="_MAPA" sheetId="4" state="hidden" r:id="rId4"/>
  </sheets>
  <definedNames>
    <definedName name="FluidezGolpesX">'_DATOS'!$A$3:$A$5</definedName>
    <definedName name="FluidezHumedadY">'_DATOS'!$B$3:$B$5</definedName>
    <definedName name="FluidezLogX">'_DATOS'!$C$3:$C$5</definedName>
    <definedName name="RegresionX">'_DATOS'!$D$3:$D$9</definedName>
    <definedName name="RegresionY">'_DATOS'!$E$3:$E$9</definedName>
    <definedName name="PuntoLLX">'_DATOS'!$H$3</definedName>
    <definedName name="PuntoLLY">'_DATOS'!$I$3</definedName>
    <definedName name="CartaLLX">'_DATOS'!$F$4</definedName>
    <definedName name="CartaIPY">'_DATOS'!$F$6</definedName>
    <definedName name="LineaAX">'_DATOS'!$H$5:$H$6</definedName>
    <definedName name="LineaAY">'_DATOS'!$I$5:$I$6</definedName>
    <definedName name="_xlnm.Print_Area" localSheetId="0">'Reporte'!$A$1:$I$89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14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1F2937"/>
      <sz val="9"/>
    </font>
    <font>
      <name val="Calibri"/>
      <color rgb="001F2937"/>
      <sz val="8"/>
    </font>
    <font>
      <name val="Calibri"/>
      <i val="1"/>
      <color rgb="00374151"/>
      <sz val="7.5"/>
    </font>
    <font>
      <name val="Calibri"/>
      <b val="1"/>
      <color rgb="00FFFFFF"/>
      <sz val="10"/>
    </font>
    <font>
      <name val="Calibri"/>
      <color rgb="00111827"/>
      <sz val="9"/>
    </font>
    <font>
      <name val="Calibri"/>
      <b val="1"/>
      <color rgb="00FFFFFF"/>
      <sz val="9"/>
    </font>
    <font>
      <name val="Calibri"/>
      <b val="1"/>
      <color rgb="00475569"/>
      <sz val="8"/>
    </font>
    <font>
      <name val="Calibri"/>
      <b val="1"/>
      <color rgb="00111827"/>
      <sz val="10"/>
    </font>
    <font>
      <name val="Calibri"/>
      <b val="1"/>
      <sz val="9"/>
    </font>
    <font>
      <name val="Calibri"/>
      <color rgb="001D4ED8"/>
      <sz val="9"/>
    </font>
    <font>
      <name val="Calibri"/>
      <b val="1"/>
      <color rgb="00111827"/>
      <sz val="11"/>
    </font>
    <font>
      <name val="Calibri"/>
      <b val="1"/>
      <color rgb="00334155"/>
      <sz val="8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top style="thin">
        <color rgb="000F172A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11" fillId="7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Curva de Fluidez — % Humedad vs N° de Golpes (esc. log)</a:t>
            </a:r>
          </a:p>
        </rich>
      </tx>
    </title>
    <plotArea>
      <scatterChart>
        <varyColors val="0"/>
        <ser>
          <idx val="0"/>
          <order val="0"/>
          <tx>
            <v>Línea de Fluidez (Regresión)</v>
          </tx>
          <spPr>
            <a:ln w="22000">
              <a:solidFill>
                <a:srgbClr val="DC262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'_DATOS'!$D$3:$D$9</f>
            </numRef>
          </xVal>
          <yVal>
            <numRef>
              <f>'_DATOS'!$E$3:$E$9</f>
            </numRef>
          </yVal>
          <smooth val="0"/>
        </ser>
        <ser>
          <idx val="1"/>
          <order val="1"/>
          <tx>
            <v>Puntos de Ensayo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1E40AF"/>
              </a:solidFill>
              <a:ln>
                <a:solidFill>
                  <a:srgbClr val="1E40AF"/>
                </a:solidFill>
                <a:prstDash val="solid"/>
              </a:ln>
            </spPr>
          </marker>
          <xVal>
            <numRef>
              <f>'_DATOS'!$A$3:$A$5</f>
            </numRef>
          </xVal>
          <yVal>
            <numRef>
              <f>'_DATOS'!$B$3:$B$5</f>
            </numRef>
          </yVal>
          <smooth val="0"/>
        </ser>
        <ser>
          <idx val="2"/>
          <order val="2"/>
          <tx>
            <v>L.L. (25 golpes)</v>
          </tx>
          <spPr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059669"/>
              </a:solidFill>
              <a:ln>
                <a:solidFill>
                  <a:srgbClr val="059669"/>
                </a:solidFill>
                <a:prstDash val="solid"/>
              </a:ln>
            </spPr>
          </marker>
          <xVal>
            <numRef>
              <f>'_DATOS'!$H$3</f>
            </numRef>
          </xVal>
          <yVal>
            <numRef>
              <f>'_DATOS'!$I$3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50"/>
          <min val="10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Carta de Plasticidad — IP vs Límite Líquido</a:t>
            </a:r>
          </a:p>
        </rich>
      </tx>
    </title>
    <plotArea>
      <scatterChart>
        <varyColors val="0"/>
        <ser>
          <idx val="0"/>
          <order val="0"/>
          <tx>
            <v>Línea A</v>
          </tx>
          <spPr>
            <a:ln w="22000">
              <a:solidFill>
                <a:srgbClr val="47556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'_DATOS'!$H$5:$H$6</f>
            </numRef>
          </xVal>
          <yVal>
            <numRef>
              <f>'_DATOS'!$I$5:$I$6</f>
            </numRef>
          </yVal>
          <smooth val="0"/>
        </ser>
        <ser>
          <idx val="1"/>
          <order val="1"/>
          <tx>
            <v>Muestra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7C3AED"/>
              </a:solidFill>
              <a:ln>
                <a:solidFill>
                  <a:srgbClr val="7C3AED"/>
                </a:solidFill>
                <a:prstDash val="solid"/>
              </a:ln>
            </spPr>
          </marker>
          <xVal>
            <numRef>
              <f>'_DATOS'!$F$4</f>
            </numRef>
          </xVal>
          <yVal>
            <numRef>
              <f>'_DATOS'!$F$6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  <max val="60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57</row>
      <rowOff>0</rowOff>
    </from>
    <ext cx="4320000" cy="403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57</row>
      <rowOff>0</rowOff>
    </from>
    <ext cx="2988000" cy="403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0</row>
      <rowOff>0</rowOff>
    </from>
    <ext cx="1238250" cy="495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1047750" cy="495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5" customHeight="1">
      <c r="C1" s="1" t="inlineStr">
        <is>
          <t>GOBIERNO REGIONAL CUSCO</t>
        </is>
      </c>
    </row>
    <row r="2" ht="15" customHeight="1">
      <c r="C2" s="2" t="inlineStr">
        <is>
          <t>Gerencia Regional de Transportes y Comunicaciones Cusco</t>
        </is>
      </c>
    </row>
    <row r="3" ht="15" customHeight="1">
      <c r="C3" s="3" t="inlineStr">
        <is>
          <t>SUB GERENCIA DE COBERTURA Y COMUNICACIONES</t>
        </is>
      </c>
    </row>
    <row r="4" ht="15" customHeight="1">
      <c r="C4" s="3" t="inlineStr">
        <is>
          <t>UNIDAD FUNCIONAL ESTUDIOS Y PROYECTOS</t>
        </is>
      </c>
    </row>
    <row r="5" ht="15" customHeight="1">
      <c r="C5" s="2" t="inlineStr">
        <is>
          <t>Laboratorio de Mecánica de Suelos, Materiales y Pavimentos</t>
        </is>
      </c>
    </row>
    <row r="6" ht="15" customHeight="1">
      <c r="C6" s="4" t="inlineStr">
        <is>
          <t>«Año de la recuperación y consolidación de la economía peruana»</t>
        </is>
      </c>
    </row>
    <row r="7" ht="4" customHeight="1"/>
    <row r="8" ht="20" customHeight="1">
      <c r="A8" s="5" t="inlineStr">
        <is>
          <t>CÓDIGO</t>
        </is>
      </c>
      <c r="B8" s="6" t="n"/>
      <c r="C8" s="7" t="n"/>
      <c r="D8" s="7" t="n"/>
      <c r="E8" s="7" t="n"/>
      <c r="F8" s="7" t="n"/>
      <c r="G8" s="7" t="n"/>
      <c r="H8" s="7" t="n"/>
      <c r="I8" s="7" t="n"/>
    </row>
    <row r="9" ht="6" customHeight="1"/>
    <row r="10">
      <c r="A10" s="8" t="inlineStr">
        <is>
          <t>PROYECTO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8" t="inlineStr">
        <is>
          <t>UBICACIÓN</t>
        </is>
      </c>
      <c r="B11" s="8" t="inlineStr">
        <is>
          <t>Lugar:</t>
        </is>
      </c>
      <c r="C11" s="10" t="n"/>
      <c r="D11" s="8" t="inlineStr">
        <is>
          <t>Distrito:</t>
        </is>
      </c>
      <c r="E11" s="10" t="n"/>
      <c r="F11" s="8" t="inlineStr">
        <is>
          <t>Provincia:</t>
        </is>
      </c>
      <c r="G11" s="10" t="n"/>
      <c r="H11" s="8" t="inlineStr">
        <is>
          <t>Dpto:</t>
        </is>
      </c>
      <c r="I11" s="10" t="n"/>
    </row>
    <row r="12">
      <c r="A12" s="8" t="inlineStr">
        <is>
          <t>SOLICITANTE</t>
        </is>
      </c>
      <c r="B12" s="11" t="n"/>
      <c r="C12" s="12" t="n"/>
      <c r="D12" s="12" t="n"/>
      <c r="E12" s="13" t="inlineStr">
        <is>
          <t>Fecha Muestreo:</t>
        </is>
      </c>
      <c r="F12" s="14" t="n"/>
      <c r="G12" s="15" t="n"/>
    </row>
    <row r="13">
      <c r="A13" s="8" t="inlineStr">
        <is>
          <t>COORDENADAS</t>
        </is>
      </c>
      <c r="B13" s="8" t="inlineStr">
        <is>
          <t>E:</t>
        </is>
      </c>
      <c r="C13" s="10" t="n"/>
      <c r="D13" s="8" t="n"/>
      <c r="E13" s="8" t="inlineStr">
        <is>
          <t>N:</t>
        </is>
      </c>
      <c r="F13" s="10" t="n"/>
      <c r="G13" s="8" t="n"/>
      <c r="H13" s="8" t="inlineStr">
        <is>
          <t>Prof. (m):</t>
        </is>
      </c>
      <c r="I13" s="10" t="n"/>
    </row>
    <row r="14">
      <c r="A14" s="8" t="inlineStr">
        <is>
          <t>DATOS DE MUESTRA</t>
        </is>
      </c>
      <c r="B14" s="8" t="inlineStr">
        <is>
          <t>Explor.:</t>
        </is>
      </c>
      <c r="C14" s="10" t="n"/>
      <c r="D14" s="8" t="inlineStr">
        <is>
          <t>Progresiva:</t>
        </is>
      </c>
      <c r="E14" s="10" t="n"/>
      <c r="F14" s="8" t="inlineStr">
        <is>
          <t>Estrato:</t>
        </is>
      </c>
      <c r="G14" s="10" t="n"/>
      <c r="H14" s="8" t="inlineStr">
        <is>
          <t>Lado:</t>
        </is>
      </c>
      <c r="I14" s="10" t="n"/>
    </row>
    <row r="15" ht="6" customHeight="1"/>
    <row r="16">
      <c r="A16" s="16" t="inlineStr">
        <is>
          <t>DETERMINACIÓN DEL LÍMITE LÍQUIDO - MTC E 110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 ht="16" customHeight="1">
      <c r="A17" s="6" t="inlineStr">
        <is>
          <t>Parámetro</t>
        </is>
      </c>
      <c r="B17" s="6" t="inlineStr">
        <is>
          <t>1</t>
        </is>
      </c>
      <c r="C17" s="6" t="inlineStr">
        <is>
          <t>2</t>
        </is>
      </c>
      <c r="D17" s="6" t="inlineStr">
        <is>
          <t>3</t>
        </is>
      </c>
    </row>
    <row r="18">
      <c r="A18" s="18" t="inlineStr">
        <is>
          <t>Cod. Recipiente</t>
        </is>
      </c>
      <c r="B18" s="18" t="n"/>
      <c r="C18" s="18" t="n"/>
      <c r="D18" s="18" t="n"/>
    </row>
    <row r="19">
      <c r="A19" s="18" t="inlineStr">
        <is>
          <t>N° de Golpes</t>
        </is>
      </c>
      <c r="B19" s="19" t="n"/>
      <c r="C19" s="19" t="n"/>
      <c r="D19" s="19" t="n"/>
    </row>
    <row r="20">
      <c r="A20" s="18" t="inlineStr">
        <is>
          <t>Peso del recipiente (g)</t>
        </is>
      </c>
      <c r="B20" s="20" t="n"/>
      <c r="C20" s="20" t="n"/>
      <c r="D20" s="20" t="n"/>
    </row>
    <row r="21">
      <c r="A21" s="18" t="inlineStr">
        <is>
          <t>Recip. + suelo húmedo (g)</t>
        </is>
      </c>
      <c r="B21" s="20" t="n"/>
      <c r="C21" s="20" t="n"/>
      <c r="D21" s="20" t="n"/>
    </row>
    <row r="22">
      <c r="A22" s="18" t="inlineStr">
        <is>
          <t>Recip. + suelo seco (g)</t>
        </is>
      </c>
      <c r="B22" s="20" t="n"/>
      <c r="C22" s="20" t="n"/>
      <c r="D22" s="20" t="n"/>
    </row>
    <row r="23">
      <c r="A23" s="18" t="inlineStr">
        <is>
          <t>Peso agua (g)</t>
        </is>
      </c>
      <c r="B23" s="21">
        <f>IF(COUNT(B21:B22)=2,B21-B22,"")</f>
        <v/>
      </c>
      <c r="C23" s="21">
        <f>IF(COUNT(C21:C22)=2,C21-C22,"")</f>
        <v/>
      </c>
      <c r="D23" s="21">
        <f>IF(COUNT(D21:D22)=2,D21-D22,"")</f>
        <v/>
      </c>
    </row>
    <row r="24">
      <c r="A24" s="18" t="inlineStr">
        <is>
          <t>Peso suelo seco (g)</t>
        </is>
      </c>
      <c r="B24" s="21">
        <f>IF(COUNT(B20,B22)=2,B22-B20,"")</f>
        <v/>
      </c>
      <c r="C24" s="21">
        <f>IF(COUNT(C20,C22)=2,C22-C20,"")</f>
        <v/>
      </c>
      <c r="D24" s="21">
        <f>IF(COUNT(D20,D22)=2,D22-D20,"")</f>
        <v/>
      </c>
    </row>
    <row r="25">
      <c r="A25" s="18" t="inlineStr">
        <is>
          <t>% de Humedad</t>
        </is>
      </c>
      <c r="B25" s="21">
        <f>IF(AND(ISNUMBER(B24),N(B24)&gt;0),IFERROR(B23/B24*100,0),"")</f>
        <v/>
      </c>
      <c r="C25" s="21">
        <f>IF(AND(ISNUMBER(C24),N(C24)&gt;0),IFERROR(C23/C24*100,0),"")</f>
        <v/>
      </c>
      <c r="D25" s="21">
        <f>IF(AND(ISNUMBER(D24),N(D24)&gt;0),IFERROR(D23/D24*100,0),"")</f>
        <v/>
      </c>
    </row>
    <row r="26">
      <c r="A26" s="18" t="inlineStr">
        <is>
          <t>LL Corregido (%)</t>
        </is>
      </c>
      <c r="B26" s="21">
        <f>IF(AND(ISNUMBER(B25),N(B19)&gt;0),B25*POWER(B19/25,0.121),"")</f>
        <v/>
      </c>
      <c r="C26" s="21">
        <f>IF(AND(ISNUMBER(C25),N(C19)&gt;0),C25*POWER(C19/25,0.121),"")</f>
        <v/>
      </c>
      <c r="D26" s="21">
        <f>IF(AND(ISNUMBER(D25),N(D19)&gt;0),D25*POWER(D19/25,0.121),"")</f>
        <v/>
      </c>
    </row>
    <row r="27">
      <c r="A27" s="8" t="inlineStr">
        <is>
          <t>LÍMITE LÍQUIDO (L.L.)</t>
        </is>
      </c>
      <c r="B27" s="22">
        <f>IF(COUNTIF(B19:D19,25)&gt;0,INDEX(B25:D25,MATCH(25,B19:D19,0)),IF(COUNT(B26:D26)&gt;0,AVERAGE(B26:D26),0))</f>
        <v/>
      </c>
      <c r="C27" s="9" t="n"/>
      <c r="D27" s="9" t="n"/>
      <c r="E27" s="9" t="n"/>
    </row>
    <row r="28" ht="6" customHeight="1"/>
    <row r="29">
      <c r="A29" s="16" t="inlineStr">
        <is>
          <t>DETERMINACIÓN DEL LÍMITE PLÁSTICO - MTC E 111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 ht="16" customHeight="1">
      <c r="A30" s="6" t="inlineStr">
        <is>
          <t>Parámetro</t>
        </is>
      </c>
      <c r="B30" s="6" t="inlineStr">
        <is>
          <t>1</t>
        </is>
      </c>
      <c r="C30" s="6" t="inlineStr">
        <is>
          <t>2</t>
        </is>
      </c>
    </row>
    <row r="31">
      <c r="A31" s="18" t="inlineStr">
        <is>
          <t>Cod. Recipiente</t>
        </is>
      </c>
      <c r="B31" s="18" t="n"/>
      <c r="C31" s="18" t="n"/>
    </row>
    <row r="32">
      <c r="A32" s="18" t="inlineStr">
        <is>
          <t>Peso del recipiente (g)</t>
        </is>
      </c>
      <c r="B32" s="20" t="n"/>
      <c r="C32" s="20" t="n"/>
    </row>
    <row r="33">
      <c r="A33" s="18" t="inlineStr">
        <is>
          <t>Recip. + suelo húmedo (g)</t>
        </is>
      </c>
      <c r="B33" s="20" t="n"/>
      <c r="C33" s="20" t="n"/>
    </row>
    <row r="34">
      <c r="A34" s="18" t="inlineStr">
        <is>
          <t>Recip. + suelo seco (g)</t>
        </is>
      </c>
      <c r="B34" s="20" t="n"/>
      <c r="C34" s="20" t="n"/>
    </row>
    <row r="35">
      <c r="A35" s="18" t="inlineStr">
        <is>
          <t>Peso agua (g)</t>
        </is>
      </c>
      <c r="B35" s="21">
        <f>IF(COUNT(B33:B34)=2,B33-B34,"")</f>
        <v/>
      </c>
      <c r="C35" s="21">
        <f>IF(COUNT(C33:C34)=2,C33-C34,"")</f>
        <v/>
      </c>
    </row>
    <row r="36">
      <c r="A36" s="18" t="inlineStr">
        <is>
          <t>Peso suelo seco (g)</t>
        </is>
      </c>
      <c r="B36" s="21">
        <f>IF(COUNT(B32,B34)=2,B34-B32,"")</f>
        <v/>
      </c>
      <c r="C36" s="21">
        <f>IF(COUNT(C32,C34)=2,C34-C32,"")</f>
        <v/>
      </c>
    </row>
    <row r="37">
      <c r="A37" s="18" t="inlineStr">
        <is>
          <t>% de Humedad</t>
        </is>
      </c>
      <c r="B37" s="21">
        <f>IF(AND(ISNUMBER(B36),N(B36)&gt;0),IFERROR(B35/B36*100,0),"")</f>
        <v/>
      </c>
      <c r="C37" s="21">
        <f>IF(AND(ISNUMBER(C36),N(C36)&gt;0),IFERROR(C35/C36*100,0),"")</f>
        <v/>
      </c>
    </row>
    <row r="38">
      <c r="A38" s="8" t="inlineStr">
        <is>
          <t>LÍMITE PLÁSTICO (L.P.)</t>
        </is>
      </c>
      <c r="B38" s="22">
        <f>IF(COUNT(B37:C37)&gt;0,AVERAGE(B37:C37),0)</f>
        <v/>
      </c>
      <c r="C38" s="9" t="n"/>
      <c r="D38" s="9" t="n"/>
      <c r="E38" s="9" t="n"/>
    </row>
    <row r="39">
      <c r="A39" s="8" t="inlineStr">
        <is>
          <t>ÍNDICE DE PLASTICIDAD (I.P.)</t>
        </is>
      </c>
      <c r="B39" s="22">
        <f>IF(AND(ISNUMBER(B27),ISNUMBER(B38)),B27-B38,"")</f>
        <v/>
      </c>
      <c r="C39" s="9" t="n"/>
      <c r="D39" s="9" t="n"/>
      <c r="E39" s="9" t="n"/>
    </row>
    <row r="40">
      <c r="A40" s="6" t="inlineStr">
        <is>
          <t>IP</t>
        </is>
      </c>
      <c r="B40" s="7" t="n"/>
      <c r="C40" s="6" t="inlineStr">
        <is>
          <t>Descripción</t>
        </is>
      </c>
      <c r="D40" s="7" t="n"/>
      <c r="E40" s="7" t="n"/>
    </row>
    <row r="41">
      <c r="A41" s="18" t="inlineStr">
        <is>
          <t>0 - 3</t>
        </is>
      </c>
      <c r="B41" s="18" t="n"/>
      <c r="C41" s="18" t="inlineStr">
        <is>
          <t>No plástico</t>
        </is>
      </c>
      <c r="D41" s="18" t="n"/>
      <c r="E41" s="18" t="n"/>
    </row>
    <row r="42">
      <c r="A42" s="18" t="inlineStr">
        <is>
          <t>3 - 15</t>
        </is>
      </c>
      <c r="B42" s="18" t="n"/>
      <c r="C42" s="18" t="inlineStr">
        <is>
          <t>Ligeramente plástico</t>
        </is>
      </c>
      <c r="D42" s="18" t="n"/>
      <c r="E42" s="18" t="n"/>
    </row>
    <row r="43">
      <c r="A43" s="18" t="inlineStr">
        <is>
          <t>15 - 30</t>
        </is>
      </c>
      <c r="B43" s="18" t="n"/>
      <c r="C43" s="18" t="inlineStr">
        <is>
          <t>Baja plasticidad</t>
        </is>
      </c>
      <c r="D43" s="18" t="n"/>
      <c r="E43" s="18" t="n"/>
    </row>
    <row r="44">
      <c r="A44" s="18" t="inlineStr">
        <is>
          <t>&gt; 30</t>
        </is>
      </c>
      <c r="B44" s="18" t="n"/>
      <c r="C44" s="18" t="inlineStr">
        <is>
          <t>Alta plasticidad</t>
        </is>
      </c>
      <c r="D44" s="18" t="n"/>
      <c r="E44" s="18" t="n"/>
    </row>
    <row r="45" ht="6" customHeight="1"/>
    <row r="46">
      <c r="A46" s="16" t="inlineStr">
        <is>
          <t>ENSAYO DE HUMEDAD NATURAL - MTC E 108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 ht="16" customHeight="1">
      <c r="A47" s="6" t="inlineStr">
        <is>
          <t>Parámetro</t>
        </is>
      </c>
      <c r="B47" s="6" t="inlineStr">
        <is>
          <t>Muestra 1</t>
        </is>
      </c>
      <c r="C47" s="6" t="inlineStr">
        <is>
          <t>Muestra 2</t>
        </is>
      </c>
    </row>
    <row r="48">
      <c r="A48" s="18" t="inlineStr">
        <is>
          <t>Cod. Cápsula</t>
        </is>
      </c>
      <c r="B48" s="18" t="n"/>
      <c r="C48" s="18" t="n"/>
    </row>
    <row r="49">
      <c r="A49" s="18" t="inlineStr">
        <is>
          <t>Peso de cápsula (g)</t>
        </is>
      </c>
      <c r="B49" s="20" t="n"/>
      <c r="C49" s="20" t="n"/>
    </row>
    <row r="50">
      <c r="A50" s="18" t="inlineStr">
        <is>
          <t>Cáps. + suelo húmedo (g)</t>
        </is>
      </c>
      <c r="B50" s="20" t="n"/>
      <c r="C50" s="20" t="n"/>
    </row>
    <row r="51">
      <c r="A51" s="18" t="inlineStr">
        <is>
          <t>Cáps. + suelo seco (g)</t>
        </is>
      </c>
      <c r="B51" s="20" t="n"/>
      <c r="C51" s="20" t="n"/>
    </row>
    <row r="52">
      <c r="A52" s="18" t="inlineStr">
        <is>
          <t>Peso del agua (g)</t>
        </is>
      </c>
      <c r="B52" s="21">
        <f>IF(COUNT(B50:B51)=2,B50-B51,"")</f>
        <v/>
      </c>
      <c r="C52" s="21">
        <f>IF(COUNT(C50:C51)=2,C50-C51,"")</f>
        <v/>
      </c>
    </row>
    <row r="53">
      <c r="A53" s="18" t="inlineStr">
        <is>
          <t>Peso del suelo seco (g)</t>
        </is>
      </c>
      <c r="B53" s="21">
        <f>IF(COUNT(B49,B51)=2,B51-B49,"")</f>
        <v/>
      </c>
      <c r="C53" s="21">
        <f>IF(COUNT(C49,C51)=2,C51-C49,"")</f>
        <v/>
      </c>
    </row>
    <row r="54">
      <c r="A54" s="18" t="inlineStr">
        <is>
          <t>Contenido de humedad (%)</t>
        </is>
      </c>
      <c r="B54" s="21">
        <f>IF(AND(ISNUMBER(B53),N(B53)&gt;0),IFERROR(B52/B53*100,0),"")</f>
        <v/>
      </c>
      <c r="C54" s="21">
        <f>IF(AND(ISNUMBER(C53),N(C53)&gt;0),IFERROR(C52/C53*100,0),"")</f>
        <v/>
      </c>
    </row>
    <row r="55">
      <c r="A55" s="8" t="inlineStr">
        <is>
          <t>HUMEDAD NATURAL (w %)</t>
        </is>
      </c>
      <c r="B55" s="22">
        <f>IF(COUNT(B54:C54)&gt;0,AVERAGE(B54:C54),0)</f>
        <v/>
      </c>
      <c r="C55" s="9" t="n"/>
      <c r="D55" s="9" t="n"/>
      <c r="E55" s="9" t="n"/>
    </row>
    <row r="56" ht="6" customHeight="1"/>
    <row r="57">
      <c r="A57" s="16" t="inlineStr">
        <is>
          <t>GRÁFICOS DEL ENSAYO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</row>
    <row r="88">
      <c r="A88" s="24" t="inlineStr">
        <is>
          <t>ESP. ENSAYOS GEOTECNICOS</t>
        </is>
      </c>
      <c r="D88" s="24" t="inlineStr">
        <is>
          <t>ESP. SUELOS Y PAVIMENTOS</t>
        </is>
      </c>
      <c r="G88" s="24" t="inlineStr">
        <is>
          <t>SUPERVISOR</t>
        </is>
      </c>
    </row>
  </sheetData>
  <mergeCells count="35">
    <mergeCell ref="A8"/>
    <mergeCell ref="E12:F12"/>
    <mergeCell ref="C44:E44"/>
    <mergeCell ref="C41:E41"/>
    <mergeCell ref="A46:I46"/>
    <mergeCell ref="C40:E40"/>
    <mergeCell ref="B55:E55"/>
    <mergeCell ref="C43:E43"/>
    <mergeCell ref="A57:I57"/>
    <mergeCell ref="C3:F3"/>
    <mergeCell ref="A41:B41"/>
    <mergeCell ref="C6:F6"/>
    <mergeCell ref="G88:I88"/>
    <mergeCell ref="C5:F5"/>
    <mergeCell ref="B8:I8"/>
    <mergeCell ref="A29:I29"/>
    <mergeCell ref="B27:E27"/>
    <mergeCell ref="C4:F4"/>
    <mergeCell ref="B10:I10"/>
    <mergeCell ref="A42:B42"/>
    <mergeCell ref="D88:F88"/>
    <mergeCell ref="B39:E39"/>
    <mergeCell ref="C1:F1"/>
    <mergeCell ref="G12:I12"/>
    <mergeCell ref="F13:G13"/>
    <mergeCell ref="C42:E42"/>
    <mergeCell ref="A43:B43"/>
    <mergeCell ref="B38:E38"/>
    <mergeCell ref="A88:C88"/>
    <mergeCell ref="A44:B44"/>
    <mergeCell ref="C13:D13"/>
    <mergeCell ref="A40:B40"/>
    <mergeCell ref="B12:D12"/>
    <mergeCell ref="C2:F2"/>
    <mergeCell ref="A16:I16"/>
  </mergeCells>
  <pageMargins left="0.35" right="0.35" top="0.45" bottom="0.45" header="0.5" footer="0.5"/>
  <pageSetup orientation="portrait" paperSize="9" fitToHeight="0" fitToWidth="1"/>
  <rowBreaks count="1" manualBreakCount="1">
    <brk id="5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F1">
        <f>IFERROR(SLOPE(B3:B5,C3:C5),0)</f>
        <v/>
      </c>
    </row>
    <row r="2">
      <c r="F2">
        <f>IFERROR(INTERCEPT(B3:B5,C3:C5),0)</f>
        <v/>
      </c>
    </row>
    <row r="3">
      <c r="A3">
        <f>IF(OR(Reporte!B19="",N(Reporte!B19)=0),NA(),Reporte!B19)</f>
        <v/>
      </c>
      <c r="B3">
        <f>IF(ISNA(A3),NA(),Reporte!B25)</f>
        <v/>
      </c>
      <c r="C3">
        <f>IF(ISNA(A3),NA(),LOG10(A3))</f>
        <v/>
      </c>
      <c r="D3" t="n">
        <v>10</v>
      </c>
      <c r="E3">
        <f>$F$1*LOG10(D3)+$F$2</f>
        <v/>
      </c>
      <c r="F3">
        <f>F1*LOG10(25)+F2</f>
        <v/>
      </c>
      <c r="H3" t="n">
        <v>25</v>
      </c>
      <c r="I3">
        <f>F3</f>
        <v/>
      </c>
    </row>
    <row r="4">
      <c r="A4">
        <f>IF(OR(Reporte!C19="",N(Reporte!C19)=0),NA(),Reporte!C19)</f>
        <v/>
      </c>
      <c r="B4">
        <f>IF(ISNA(A4),NA(),Reporte!C25)</f>
        <v/>
      </c>
      <c r="C4">
        <f>IF(ISNA(A4),NA(),LOG10(A4))</f>
        <v/>
      </c>
      <c r="D4" t="n">
        <v>12.5</v>
      </c>
      <c r="E4">
        <f>$F$1*LOG10(D4)+$F$2</f>
        <v/>
      </c>
      <c r="F4">
        <f>Reporte!B27</f>
        <v/>
      </c>
    </row>
    <row r="5">
      <c r="A5">
        <f>IF(OR(Reporte!D19="",N(Reporte!D19)=0),NA(),Reporte!D19)</f>
        <v/>
      </c>
      <c r="B5">
        <f>IF(ISNA(A5),NA(),Reporte!D25)</f>
        <v/>
      </c>
      <c r="C5">
        <f>IF(ISNA(A5),NA(),LOG10(A5))</f>
        <v/>
      </c>
      <c r="D5" t="n">
        <v>15</v>
      </c>
      <c r="E5">
        <f>$F$1*LOG10(D5)+$F$2</f>
        <v/>
      </c>
      <c r="F5">
        <f>Reporte!B38</f>
        <v/>
      </c>
      <c r="H5" t="n">
        <v>20</v>
      </c>
      <c r="I5" t="n">
        <v>0</v>
      </c>
    </row>
    <row r="6">
      <c r="D6" t="n">
        <v>20</v>
      </c>
      <c r="E6">
        <f>$F$1*LOG10(D6)+$F$2</f>
        <v/>
      </c>
      <c r="F6">
        <f>F4-F5</f>
        <v/>
      </c>
      <c r="H6" t="n">
        <v>100</v>
      </c>
      <c r="I6" t="n">
        <v>58.4</v>
      </c>
    </row>
    <row r="7">
      <c r="D7" t="n">
        <v>25</v>
      </c>
      <c r="E7">
        <f>$F$1*LOG10(D7)+$F$2</f>
        <v/>
      </c>
    </row>
    <row r="8">
      <c r="D8" t="n">
        <v>35</v>
      </c>
      <c r="E8">
        <f>$F$1*LOG10(D8)+$F$2</f>
        <v/>
      </c>
    </row>
    <row r="9">
      <c r="D9" t="n">
        <v>50</v>
      </c>
      <c r="E9">
        <f>$F$1*LOG10(D9)+$F$2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tipo</t>
        </is>
      </c>
      <c r="D1" t="inlineStr">
        <is>
          <t>ancla</t>
        </is>
      </c>
      <c r="E1" t="inlineStr">
        <is>
          <t>ancho_px</t>
        </is>
      </c>
      <c r="F1" t="inlineStr">
        <is>
          <t>alto_px</t>
        </is>
      </c>
      <c r="G1" t="inlineStr">
        <is>
          <t>x_log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titulo_x</t>
        </is>
      </c>
      <c r="M1" t="inlineStr">
        <is>
          <t>titulo_y</t>
        </is>
      </c>
      <c r="N1" t="inlineStr">
        <is>
          <t>serie</t>
        </is>
      </c>
      <c r="O1" t="inlineStr">
        <is>
          <t>estilo</t>
        </is>
      </c>
      <c r="P1" t="inlineStr">
        <is>
          <t>rango_x</t>
        </is>
      </c>
      <c r="Q1" t="inlineStr">
        <is>
          <t>rango_y</t>
        </is>
      </c>
      <c r="R1" t="inlineStr">
        <is>
          <t>color</t>
        </is>
      </c>
      <c r="S1" t="inlineStr">
        <is>
          <t>orden</t>
        </is>
      </c>
    </row>
    <row r="2">
      <c r="A2" t="inlineStr">
        <is>
          <t>curva_fluidez</t>
        </is>
      </c>
      <c r="B2" t="inlineStr">
        <is>
          <t>Determinación del Límite Líquido (Curva de Fluidez)</t>
        </is>
      </c>
      <c r="C2" t="inlineStr">
        <is>
          <t>xy</t>
        </is>
      </c>
      <c r="D2" t="inlineStr">
        <is>
          <t>A58</t>
        </is>
      </c>
      <c r="E2" t="n">
        <v>455</v>
      </c>
      <c r="F2" t="n">
        <v>425</v>
      </c>
      <c r="G2" t="inlineStr">
        <is>
          <t>SI</t>
        </is>
      </c>
      <c r="H2" t="n">
        <v>10</v>
      </c>
      <c r="I2" t="n">
        <v>50</v>
      </c>
      <c r="J2" t="inlineStr"/>
      <c r="K2" t="inlineStr"/>
      <c r="L2" t="inlineStr">
        <is>
          <t>Número de Golpes</t>
        </is>
      </c>
      <c r="M2" t="inlineStr">
        <is>
          <t>% de Humedad</t>
        </is>
      </c>
      <c r="N2" t="inlineStr">
        <is>
          <t>Línea de Fluidez (Regresión)</t>
        </is>
      </c>
      <c r="O2" t="inlineStr">
        <is>
          <t>linea</t>
        </is>
      </c>
      <c r="P2" t="inlineStr">
        <is>
          <t>'_DATOS'!$D$3:$D$9</t>
        </is>
      </c>
      <c r="Q2" t="inlineStr">
        <is>
          <t>'_DATOS'!$E$3:$E$9</t>
        </is>
      </c>
      <c r="R2" t="inlineStr">
        <is>
          <t>DC2626</t>
        </is>
      </c>
      <c r="S2" t="n">
        <v>1</v>
      </c>
    </row>
    <row r="3">
      <c r="A3" t="inlineStr">
        <is>
          <t>curva_fluidez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Puntos de Ensayo</t>
        </is>
      </c>
      <c r="O3" t="inlineStr">
        <is>
          <t>marcador</t>
        </is>
      </c>
      <c r="P3" t="inlineStr">
        <is>
          <t>'_DATOS'!$A$3:$A$5</t>
        </is>
      </c>
      <c r="Q3" t="inlineStr">
        <is>
          <t>'_DATOS'!$B$3:$B$5</t>
        </is>
      </c>
      <c r="R3" t="inlineStr">
        <is>
          <t>1E40AF</t>
        </is>
      </c>
      <c r="S3" t="n">
        <v>2</v>
      </c>
    </row>
    <row r="4">
      <c r="A4" t="inlineStr">
        <is>
          <t>curva_fluidez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L.L. (25 golpes)</t>
        </is>
      </c>
      <c r="O4" t="inlineStr">
        <is>
          <t>marcador</t>
        </is>
      </c>
      <c r="P4" t="inlineStr">
        <is>
          <t>'_DATOS'!$H$3:$H$3</t>
        </is>
      </c>
      <c r="Q4" t="inlineStr">
        <is>
          <t>'_DATOS'!$I$3:$I$3</t>
        </is>
      </c>
      <c r="R4" t="inlineStr">
        <is>
          <t>059669</t>
        </is>
      </c>
      <c r="S4" t="n">
        <v>3</v>
      </c>
    </row>
    <row r="5">
      <c r="A5" t="inlineStr">
        <is>
          <t>carta_plasticidad</t>
        </is>
      </c>
      <c r="B5" t="inlineStr">
        <is>
          <t>Carta de Plasticidad de Casagrande</t>
        </is>
      </c>
      <c r="C5" t="inlineStr">
        <is>
          <t>xy</t>
        </is>
      </c>
      <c r="D5" t="inlineStr">
        <is>
          <t>F58</t>
        </is>
      </c>
      <c r="E5" t="n">
        <v>315</v>
      </c>
      <c r="F5" t="n">
        <v>425</v>
      </c>
      <c r="G5" t="inlineStr">
        <is>
          <t>NO</t>
        </is>
      </c>
      <c r="H5" t="n">
        <v>0</v>
      </c>
      <c r="I5" t="n">
        <v>100</v>
      </c>
      <c r="J5" t="n">
        <v>0</v>
      </c>
      <c r="K5" t="n">
        <v>60</v>
      </c>
      <c r="L5" t="inlineStr">
        <is>
          <t>Límite Líquido (LL)</t>
        </is>
      </c>
      <c r="M5" t="inlineStr">
        <is>
          <t>Índice de Plasticidad (IP)</t>
        </is>
      </c>
      <c r="N5" t="inlineStr">
        <is>
          <t>Línea A</t>
        </is>
      </c>
      <c r="O5" t="inlineStr">
        <is>
          <t>linea</t>
        </is>
      </c>
      <c r="P5" t="inlineStr">
        <is>
          <t>'_DATOS'!$H$5:$H$6</t>
        </is>
      </c>
      <c r="Q5" t="inlineStr">
        <is>
          <t>'_DATOS'!$I$5:$I$6</t>
        </is>
      </c>
      <c r="R5" t="inlineStr">
        <is>
          <t>475569</t>
        </is>
      </c>
      <c r="S5" t="n">
        <v>1</v>
      </c>
    </row>
    <row r="6">
      <c r="A6" t="inlineStr">
        <is>
          <t>carta_plasticidad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Muestra</t>
        </is>
      </c>
      <c r="O6" t="inlineStr">
        <is>
          <t>marcador</t>
        </is>
      </c>
      <c r="P6" t="inlineStr">
        <is>
          <t>'_DATOS'!$F$4:$F$4</t>
        </is>
      </c>
      <c r="Q6" t="inlineStr">
        <is>
          <t>'_DATOS'!$F$6:$F$6</t>
        </is>
      </c>
      <c r="R6" t="inlineStr">
        <is>
          <t>7C3AED</t>
        </is>
      </c>
      <c r="S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4A3B8"/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celda</t>
        </is>
      </c>
      <c r="C1" t="inlineStr">
        <is>
          <t>tipo</t>
        </is>
      </c>
      <c r="D1" t="inlineStr">
        <is>
          <t>formato</t>
        </is>
      </c>
    </row>
    <row r="2">
      <c r="A2" t="inlineStr">
        <is>
          <t>meta.codigo_ensayo</t>
        </is>
      </c>
      <c r="B2" t="inlineStr">
        <is>
          <t>B8</t>
        </is>
      </c>
      <c r="C2" t="inlineStr">
        <is>
          <t>texto</t>
        </is>
      </c>
    </row>
    <row r="3">
      <c r="A3" t="inlineStr">
        <is>
          <t>meta.proyecto_nombre</t>
        </is>
      </c>
      <c r="B3" t="inlineStr">
        <is>
          <t>B10</t>
        </is>
      </c>
      <c r="C3" t="inlineStr">
        <is>
          <t>texto</t>
        </is>
      </c>
    </row>
    <row r="4">
      <c r="A4" t="inlineStr">
        <is>
          <t>meta.tramo_nombre</t>
        </is>
      </c>
      <c r="B4" t="inlineStr">
        <is>
          <t>C11</t>
        </is>
      </c>
      <c r="C4" t="inlineStr">
        <is>
          <t>texto</t>
        </is>
      </c>
    </row>
    <row r="5">
      <c r="A5" t="inlineStr">
        <is>
          <t>meta.distrito</t>
        </is>
      </c>
      <c r="B5" t="inlineStr">
        <is>
          <t>E11</t>
        </is>
      </c>
      <c r="C5" t="inlineStr">
        <is>
          <t>texto</t>
        </is>
      </c>
    </row>
    <row r="6">
      <c r="A6" t="inlineStr">
        <is>
          <t>meta.provincia</t>
        </is>
      </c>
      <c r="B6" t="inlineStr">
        <is>
          <t>G11</t>
        </is>
      </c>
      <c r="C6" t="inlineStr">
        <is>
          <t>texto</t>
        </is>
      </c>
    </row>
    <row r="7">
      <c r="A7" t="inlineStr">
        <is>
          <t>meta.departamento</t>
        </is>
      </c>
      <c r="B7" t="inlineStr">
        <is>
          <t>I11</t>
        </is>
      </c>
      <c r="C7" t="inlineStr">
        <is>
          <t>texto</t>
        </is>
      </c>
    </row>
    <row r="8">
      <c r="A8" t="inlineStr">
        <is>
          <t>meta.solicitante</t>
        </is>
      </c>
      <c r="B8" t="inlineStr">
        <is>
          <t>B12</t>
        </is>
      </c>
      <c r="C8" t="inlineStr">
        <is>
          <t>texto</t>
        </is>
      </c>
    </row>
    <row r="9">
      <c r="A9" t="inlineStr">
        <is>
          <t>meta.fecha_muestreo</t>
        </is>
      </c>
      <c r="B9" t="inlineStr">
        <is>
          <t>G12</t>
        </is>
      </c>
      <c r="C9" t="inlineStr">
        <is>
          <t>fecha</t>
        </is>
      </c>
      <c r="D9" t="inlineStr">
        <is>
          <t>dddd d" de "mmmm" de "yyyy</t>
        </is>
      </c>
    </row>
    <row r="10">
      <c r="A10" t="inlineStr">
        <is>
          <t>meta.coordenada_este</t>
        </is>
      </c>
      <c r="B10" t="inlineStr">
        <is>
          <t>C13</t>
        </is>
      </c>
      <c r="C10" t="inlineStr">
        <is>
          <t>numero</t>
        </is>
      </c>
      <c r="D10" t="inlineStr">
        <is>
          <t>0.00</t>
        </is>
      </c>
    </row>
    <row r="11">
      <c r="A11" t="inlineStr">
        <is>
          <t>meta.coordenada_norte</t>
        </is>
      </c>
      <c r="B11" t="inlineStr">
        <is>
          <t>F13</t>
        </is>
      </c>
      <c r="C11" t="inlineStr">
        <is>
          <t>numero</t>
        </is>
      </c>
      <c r="D11" t="inlineStr">
        <is>
          <t>0.00</t>
        </is>
      </c>
    </row>
    <row r="12">
      <c r="A12" t="inlineStr">
        <is>
          <t>meta.profundidad</t>
        </is>
      </c>
      <c r="B12" t="inlineStr">
        <is>
          <t>I13</t>
        </is>
      </c>
      <c r="C12" t="inlineStr">
        <is>
          <t>texto</t>
        </is>
      </c>
    </row>
    <row r="13">
      <c r="A13" t="inlineStr">
        <is>
          <t>meta.calicata</t>
        </is>
      </c>
      <c r="B13" t="inlineStr">
        <is>
          <t>C14</t>
        </is>
      </c>
      <c r="C13" t="inlineStr">
        <is>
          <t>texto</t>
        </is>
      </c>
    </row>
    <row r="14">
      <c r="A14" t="inlineStr">
        <is>
          <t>meta.progresiva</t>
        </is>
      </c>
      <c r="B14" t="inlineStr">
        <is>
          <t>E14</t>
        </is>
      </c>
      <c r="C14" t="inlineStr">
        <is>
          <t>texto</t>
        </is>
      </c>
    </row>
    <row r="15">
      <c r="A15" t="inlineStr">
        <is>
          <t>meta.estrato</t>
        </is>
      </c>
      <c r="B15" t="inlineStr">
        <is>
          <t>G14</t>
        </is>
      </c>
      <c r="C15" t="inlineStr">
        <is>
          <t>texto</t>
        </is>
      </c>
    </row>
    <row r="16">
      <c r="A16" t="inlineStr">
        <is>
          <t>meta.lado</t>
        </is>
      </c>
      <c r="B16" t="inlineStr">
        <is>
          <t>I14</t>
        </is>
      </c>
      <c r="C16" t="inlineStr">
        <is>
          <t>texto</t>
        </is>
      </c>
    </row>
    <row r="17">
      <c r="A17" t="inlineStr">
        <is>
          <t>datos.tables.limite_liquido.1.codigo</t>
        </is>
      </c>
      <c r="B17" t="inlineStr">
        <is>
          <t>B18</t>
        </is>
      </c>
      <c r="C17" t="inlineStr">
        <is>
          <t>texto</t>
        </is>
      </c>
    </row>
    <row r="18">
      <c r="A18" t="inlineStr">
        <is>
          <t>datos.tables.limite_liquido.1.golpes</t>
        </is>
      </c>
      <c r="B18" t="inlineStr">
        <is>
          <t>B19</t>
        </is>
      </c>
      <c r="C18" t="inlineStr">
        <is>
          <t>numero</t>
        </is>
      </c>
      <c r="D18" t="inlineStr">
        <is>
          <t>0</t>
        </is>
      </c>
    </row>
    <row r="19">
      <c r="A19" t="inlineStr">
        <is>
          <t>datos.tables.limite_liquido.1.tara</t>
        </is>
      </c>
      <c r="B19" t="inlineStr">
        <is>
          <t>B20</t>
        </is>
      </c>
      <c r="C19" t="inlineStr">
        <is>
          <t>numero</t>
        </is>
      </c>
      <c r="D19" t="inlineStr">
        <is>
          <t>0.00</t>
        </is>
      </c>
    </row>
    <row r="20">
      <c r="A20" t="inlineStr">
        <is>
          <t>datos.tables.limite_liquido.1.humedo</t>
        </is>
      </c>
      <c r="B20" t="inlineStr">
        <is>
          <t>B21</t>
        </is>
      </c>
      <c r="C20" t="inlineStr">
        <is>
          <t>numero</t>
        </is>
      </c>
      <c r="D20" t="inlineStr">
        <is>
          <t>0.00</t>
        </is>
      </c>
    </row>
    <row r="21">
      <c r="A21" t="inlineStr">
        <is>
          <t>datos.tables.limite_liquido.1.seco</t>
        </is>
      </c>
      <c r="B21" t="inlineStr">
        <is>
          <t>B22</t>
        </is>
      </c>
      <c r="C21" t="inlineStr">
        <is>
          <t>numero</t>
        </is>
      </c>
      <c r="D21" t="inlineStr">
        <is>
          <t>0.00</t>
        </is>
      </c>
    </row>
    <row r="22">
      <c r="A22" t="inlineStr">
        <is>
          <t>datos.tables.limite_liquido.2.codigo</t>
        </is>
      </c>
      <c r="B22" t="inlineStr">
        <is>
          <t>C18</t>
        </is>
      </c>
      <c r="C22" t="inlineStr">
        <is>
          <t>texto</t>
        </is>
      </c>
    </row>
    <row r="23">
      <c r="A23" t="inlineStr">
        <is>
          <t>datos.tables.limite_liquido.2.golpes</t>
        </is>
      </c>
      <c r="B23" t="inlineStr">
        <is>
          <t>C19</t>
        </is>
      </c>
      <c r="C23" t="inlineStr">
        <is>
          <t>numero</t>
        </is>
      </c>
      <c r="D23" t="inlineStr">
        <is>
          <t>0</t>
        </is>
      </c>
    </row>
    <row r="24">
      <c r="A24" t="inlineStr">
        <is>
          <t>datos.tables.limite_liquido.2.tara</t>
        </is>
      </c>
      <c r="B24" t="inlineStr">
        <is>
          <t>C20</t>
        </is>
      </c>
      <c r="C24" t="inlineStr">
        <is>
          <t>numero</t>
        </is>
      </c>
      <c r="D24" t="inlineStr">
        <is>
          <t>0.00</t>
        </is>
      </c>
    </row>
    <row r="25">
      <c r="A25" t="inlineStr">
        <is>
          <t>datos.tables.limite_liquido.2.humedo</t>
        </is>
      </c>
      <c r="B25" t="inlineStr">
        <is>
          <t>C21</t>
        </is>
      </c>
      <c r="C25" t="inlineStr">
        <is>
          <t>numero</t>
        </is>
      </c>
      <c r="D25" t="inlineStr">
        <is>
          <t>0.00</t>
        </is>
      </c>
    </row>
    <row r="26">
      <c r="A26" t="inlineStr">
        <is>
          <t>datos.tables.limite_liquido.2.seco</t>
        </is>
      </c>
      <c r="B26" t="inlineStr">
        <is>
          <t>C22</t>
        </is>
      </c>
      <c r="C26" t="inlineStr">
        <is>
          <t>numero</t>
        </is>
      </c>
      <c r="D26" t="inlineStr">
        <is>
          <t>0.00</t>
        </is>
      </c>
    </row>
    <row r="27">
      <c r="A27" t="inlineStr">
        <is>
          <t>datos.tables.limite_liquido.3.codigo</t>
        </is>
      </c>
      <c r="B27" t="inlineStr">
        <is>
          <t>D18</t>
        </is>
      </c>
      <c r="C27" t="inlineStr">
        <is>
          <t>texto</t>
        </is>
      </c>
    </row>
    <row r="28">
      <c r="A28" t="inlineStr">
        <is>
          <t>datos.tables.limite_liquido.3.golpes</t>
        </is>
      </c>
      <c r="B28" t="inlineStr">
        <is>
          <t>D19</t>
        </is>
      </c>
      <c r="C28" t="inlineStr">
        <is>
          <t>numero</t>
        </is>
      </c>
      <c r="D28" t="inlineStr">
        <is>
          <t>0</t>
        </is>
      </c>
    </row>
    <row r="29">
      <c r="A29" t="inlineStr">
        <is>
          <t>datos.tables.limite_liquido.3.tara</t>
        </is>
      </c>
      <c r="B29" t="inlineStr">
        <is>
          <t>D20</t>
        </is>
      </c>
      <c r="C29" t="inlineStr">
        <is>
          <t>numero</t>
        </is>
      </c>
      <c r="D29" t="inlineStr">
        <is>
          <t>0.00</t>
        </is>
      </c>
    </row>
    <row r="30">
      <c r="A30" t="inlineStr">
        <is>
          <t>datos.tables.limite_liquido.3.humedo</t>
        </is>
      </c>
      <c r="B30" t="inlineStr">
        <is>
          <t>D21</t>
        </is>
      </c>
      <c r="C30" t="inlineStr">
        <is>
          <t>numero</t>
        </is>
      </c>
      <c r="D30" t="inlineStr">
        <is>
          <t>0.00</t>
        </is>
      </c>
    </row>
    <row r="31">
      <c r="A31" t="inlineStr">
        <is>
          <t>datos.tables.limite_liquido.3.seco</t>
        </is>
      </c>
      <c r="B31" t="inlineStr">
        <is>
          <t>D22</t>
        </is>
      </c>
      <c r="C31" t="inlineStr">
        <is>
          <t>numero</t>
        </is>
      </c>
      <c r="D31" t="inlineStr">
        <is>
          <t>0.00</t>
        </is>
      </c>
    </row>
    <row r="32">
      <c r="A32" t="inlineStr">
        <is>
          <t>datos.tables.limite_plastico.1.codigo</t>
        </is>
      </c>
      <c r="B32" t="inlineStr">
        <is>
          <t>B31</t>
        </is>
      </c>
      <c r="C32" t="inlineStr">
        <is>
          <t>texto</t>
        </is>
      </c>
    </row>
    <row r="33">
      <c r="A33" t="inlineStr">
        <is>
          <t>datos.tables.limite_plastico.1.tara</t>
        </is>
      </c>
      <c r="B33" t="inlineStr">
        <is>
          <t>B32</t>
        </is>
      </c>
      <c r="C33" t="inlineStr">
        <is>
          <t>numero</t>
        </is>
      </c>
      <c r="D33" t="inlineStr">
        <is>
          <t>0.00</t>
        </is>
      </c>
    </row>
    <row r="34">
      <c r="A34" t="inlineStr">
        <is>
          <t>datos.tables.limite_plastico.1.humedo</t>
        </is>
      </c>
      <c r="B34" t="inlineStr">
        <is>
          <t>B33</t>
        </is>
      </c>
      <c r="C34" t="inlineStr">
        <is>
          <t>numero</t>
        </is>
      </c>
      <c r="D34" t="inlineStr">
        <is>
          <t>0.00</t>
        </is>
      </c>
    </row>
    <row r="35">
      <c r="A35" t="inlineStr">
        <is>
          <t>datos.tables.limite_plastico.1.seco</t>
        </is>
      </c>
      <c r="B35" t="inlineStr">
        <is>
          <t>B34</t>
        </is>
      </c>
      <c r="C35" t="inlineStr">
        <is>
          <t>numero</t>
        </is>
      </c>
      <c r="D35" t="inlineStr">
        <is>
          <t>0.00</t>
        </is>
      </c>
    </row>
    <row r="36">
      <c r="A36" t="inlineStr">
        <is>
          <t>datos.tables.limite_plastico.2.codigo</t>
        </is>
      </c>
      <c r="B36" t="inlineStr">
        <is>
          <t>C31</t>
        </is>
      </c>
      <c r="C36" t="inlineStr">
        <is>
          <t>texto</t>
        </is>
      </c>
    </row>
    <row r="37">
      <c r="A37" t="inlineStr">
        <is>
          <t>datos.tables.limite_plastico.2.tara</t>
        </is>
      </c>
      <c r="B37" t="inlineStr">
        <is>
          <t>C32</t>
        </is>
      </c>
      <c r="C37" t="inlineStr">
        <is>
          <t>numero</t>
        </is>
      </c>
      <c r="D37" t="inlineStr">
        <is>
          <t>0.00</t>
        </is>
      </c>
    </row>
    <row r="38">
      <c r="A38" t="inlineStr">
        <is>
          <t>datos.tables.limite_plastico.2.humedo</t>
        </is>
      </c>
      <c r="B38" t="inlineStr">
        <is>
          <t>C33</t>
        </is>
      </c>
      <c r="C38" t="inlineStr">
        <is>
          <t>numero</t>
        </is>
      </c>
      <c r="D38" t="inlineStr">
        <is>
          <t>0.00</t>
        </is>
      </c>
    </row>
    <row r="39">
      <c r="A39" t="inlineStr">
        <is>
          <t>datos.tables.limite_plastico.2.seco</t>
        </is>
      </c>
      <c r="B39" t="inlineStr">
        <is>
          <t>C34</t>
        </is>
      </c>
      <c r="C39" t="inlineStr">
        <is>
          <t>numero</t>
        </is>
      </c>
      <c r="D39" t="inlineStr">
        <is>
          <t>0.00</t>
        </is>
      </c>
    </row>
    <row r="40">
      <c r="A40" t="inlineStr">
        <is>
          <t>datos.tables.humedad_natural.1.codigo</t>
        </is>
      </c>
      <c r="B40" t="inlineStr">
        <is>
          <t>B48</t>
        </is>
      </c>
      <c r="C40" t="inlineStr">
        <is>
          <t>texto</t>
        </is>
      </c>
    </row>
    <row r="41">
      <c r="A41" t="inlineStr">
        <is>
          <t>datos.tables.humedad_natural.1.tara</t>
        </is>
      </c>
      <c r="B41" t="inlineStr">
        <is>
          <t>B49</t>
        </is>
      </c>
      <c r="C41" t="inlineStr">
        <is>
          <t>numero</t>
        </is>
      </c>
      <c r="D41" t="inlineStr">
        <is>
          <t>0.00</t>
        </is>
      </c>
    </row>
    <row r="42">
      <c r="A42" t="inlineStr">
        <is>
          <t>datos.tables.humedad_natural.1.humedo</t>
        </is>
      </c>
      <c r="B42" t="inlineStr">
        <is>
          <t>B50</t>
        </is>
      </c>
      <c r="C42" t="inlineStr">
        <is>
          <t>numero</t>
        </is>
      </c>
      <c r="D42" t="inlineStr">
        <is>
          <t>0.00</t>
        </is>
      </c>
    </row>
    <row r="43">
      <c r="A43" t="inlineStr">
        <is>
          <t>datos.tables.humedad_natural.1.seco</t>
        </is>
      </c>
      <c r="B43" t="inlineStr">
        <is>
          <t>B51</t>
        </is>
      </c>
      <c r="C43" t="inlineStr">
        <is>
          <t>numero</t>
        </is>
      </c>
      <c r="D43" t="inlineStr">
        <is>
          <t>0.00</t>
        </is>
      </c>
    </row>
    <row r="44">
      <c r="A44" t="inlineStr">
        <is>
          <t>datos.tables.humedad_natural.2.codigo</t>
        </is>
      </c>
      <c r="B44" t="inlineStr">
        <is>
          <t>C48</t>
        </is>
      </c>
      <c r="C44" t="inlineStr">
        <is>
          <t>texto</t>
        </is>
      </c>
    </row>
    <row r="45">
      <c r="A45" t="inlineStr">
        <is>
          <t>datos.tables.humedad_natural.2.tara</t>
        </is>
      </c>
      <c r="B45" t="inlineStr">
        <is>
          <t>C49</t>
        </is>
      </c>
      <c r="C45" t="inlineStr">
        <is>
          <t>numero</t>
        </is>
      </c>
      <c r="D45" t="inlineStr">
        <is>
          <t>0.00</t>
        </is>
      </c>
    </row>
    <row r="46">
      <c r="A46" t="inlineStr">
        <is>
          <t>datos.tables.humedad_natural.2.humedo</t>
        </is>
      </c>
      <c r="B46" t="inlineStr">
        <is>
          <t>C50</t>
        </is>
      </c>
      <c r="C46" t="inlineStr">
        <is>
          <t>numero</t>
        </is>
      </c>
      <c r="D46" t="inlineStr">
        <is>
          <t>0.00</t>
        </is>
      </c>
    </row>
    <row r="47">
      <c r="A47" t="inlineStr">
        <is>
          <t>datos.tables.humedad_natural.2.seco</t>
        </is>
      </c>
      <c r="B47" t="inlineStr">
        <is>
          <t>C51</t>
        </is>
      </c>
      <c r="C47" t="inlineStr">
        <is>
          <t>numero</t>
        </is>
      </c>
      <c r="D4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2026-09-03T16:57:24Z</dcterms:created>
  <dcterms:modified xsi:type="dcterms:W3CDTF">2026-09-03T16:57:24Z</dcterms:modified>
</cp:coreProperties>
</file>