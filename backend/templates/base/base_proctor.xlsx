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e" sheetId="1" state="visible" r:id="rId1"/>
    <sheet xmlns:r="http://schemas.openxmlformats.org/officeDocument/2006/relationships" name="_DATOS" sheetId="2" state="hidden" r:id="rId2"/>
    <sheet xmlns:r="http://schemas.openxmlformats.org/officeDocument/2006/relationships" name="_GRAFICOS" sheetId="3" state="hidden" r:id="rId3"/>
    <sheet xmlns:r="http://schemas.openxmlformats.org/officeDocument/2006/relationships" name="_MAPA" sheetId="4" state="hidden" r:id="rId4"/>
  </sheets>
  <definedNames>
    <definedName name="CurvaX">'_DATOS'!$A$3:$A$6</definedName>
    <definedName name="CurvaY">'_DATOS'!$B$3:$B$6</definedName>
    <definedName name="AjusteX">'_DATOS'!$H$3:$H$22</definedName>
    <definedName name="AjusteY">'_DATOS'!$I$3:$I$22</definedName>
    <definedName name="MDSX">'_DATOS'!$K$3</definedName>
    <definedName name="MDSY">'_DATOS'!$L$3</definedName>
    <definedName name="_xlnm.Print_Area" localSheetId="0">'Reporte'!$A$1:$I$78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00&quot; g/cm³&quot;"/>
    <numFmt numFmtId="166" formatCode="0.00&quot; %&quot;"/>
  </numFmts>
  <fonts count="15">
    <font>
      <name val="Calibri"/>
      <family val="2"/>
      <color theme="1"/>
      <sz val="11"/>
      <scheme val="minor"/>
    </font>
    <font>
      <name val="Calibri"/>
      <b val="1"/>
      <color rgb="00111827"/>
      <sz val="14"/>
    </font>
    <font>
      <name val="Calibri"/>
      <color rgb="001F2937"/>
      <sz val="9"/>
    </font>
    <font>
      <name val="Calibri"/>
      <color rgb="001F2937"/>
      <sz val="8"/>
    </font>
    <font>
      <name val="Calibri"/>
      <i val="1"/>
      <color rgb="00374151"/>
      <sz val="7.5"/>
    </font>
    <font>
      <name val="Calibri"/>
      <b val="1"/>
      <color rgb="00FFFFFF"/>
      <sz val="10"/>
    </font>
    <font>
      <name val="Calibri"/>
      <color rgb="00111827"/>
      <sz val="9"/>
    </font>
    <font>
      <name val="Calibri"/>
      <b val="1"/>
      <color rgb="00FFFFFF"/>
      <sz val="11"/>
    </font>
    <font>
      <name val="Calibri"/>
      <b val="1"/>
      <color rgb="00475569"/>
      <sz val="8"/>
    </font>
    <font>
      <name val="Calibri"/>
      <b val="1"/>
      <color rgb="00111827"/>
      <sz val="10"/>
    </font>
    <font>
      <name val="Calibri"/>
      <b val="1"/>
      <sz val="9"/>
    </font>
    <font>
      <name val="Calibri"/>
      <color rgb="001D4ED8"/>
      <sz val="9"/>
    </font>
    <font>
      <name val="Calibri"/>
      <b val="1"/>
      <color rgb="00FFFFFF"/>
      <sz val="9"/>
    </font>
    <font>
      <name val="Calibri"/>
      <b val="1"/>
      <color rgb="00111827"/>
      <sz val="11"/>
    </font>
    <font>
      <name val="Calibri"/>
      <b val="1"/>
      <color rgb="00334155"/>
      <sz val="8"/>
    </font>
  </fonts>
  <fills count="8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8FAFC"/>
      </patternFill>
    </fill>
    <fill>
      <patternFill patternType="solid">
        <fgColor rgb="00F1F5F9"/>
      </patternFill>
    </fill>
    <fill>
      <patternFill patternType="solid">
        <fgColor rgb="00FFFFFF"/>
      </patternFill>
    </fill>
    <fill>
      <patternFill patternType="solid">
        <fgColor rgb="00334155"/>
      </patternFill>
    </fill>
    <fill>
      <patternFill patternType="solid">
        <fgColor rgb="00EEF2F7"/>
      </patternFill>
    </fill>
  </fills>
  <borders count="3">
    <border>
      <left/>
      <right/>
      <top/>
      <bottom/>
      <diagonal/>
    </border>
    <border>
      <left style="thin">
        <color rgb="000F172A"/>
      </left>
      <right style="thin">
        <color rgb="000F172A"/>
      </right>
      <top style="thin">
        <color rgb="000F172A"/>
      </top>
      <bottom style="thin">
        <color rgb="000F172A"/>
      </bottom>
    </border>
    <border>
      <top style="thin">
        <color rgb="000F172A"/>
      </top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11" fillId="7" borderId="0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2" fontId="11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164" fontId="11" fillId="7" borderId="1" applyAlignment="1" pivotButton="0" quotePrefix="0" xfId="0">
      <alignment horizontal="center" vertical="center" wrapText="1"/>
    </xf>
    <xf numFmtId="165" fontId="13" fillId="4" borderId="1" applyAlignment="1" pivotButton="0" quotePrefix="0" xfId="0">
      <alignment horizontal="center" vertical="center" wrapText="1"/>
    </xf>
    <xf numFmtId="166" fontId="13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14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Curva de Compactación — Densidad Seca (g/cm³) vs Humedad (%)</a:t>
            </a:r>
          </a:p>
        </rich>
      </tx>
    </title>
    <plotArea>
      <scatterChart>
        <varyColors val="0"/>
        <ser>
          <idx val="0"/>
          <order val="0"/>
          <tx>
            <v>Ajuste Cuadrático</v>
          </tx>
          <spPr>
            <a:ln xmlns:a="http://schemas.openxmlformats.org/drawingml/2006/main" w="24000">
              <a:solidFill>
                <a:srgbClr val="DC262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'_DATOS'!$H$3:$H$22</f>
            </numRef>
          </xVal>
          <yVal>
            <numRef>
              <f>'_DATOS'!$I$3:$I$22</f>
            </numRef>
          </yVal>
          <smooth val="1"/>
        </ser>
        <ser>
          <idx val="1"/>
          <order val="1"/>
          <tx>
            <v>Puntos de Ensayo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8"/>
            <spPr>
              <a:solidFill xmlns:a="http://schemas.openxmlformats.org/drawingml/2006/main">
                <a:srgbClr val="1E40AF"/>
              </a:solidFill>
              <a:ln xmlns:a="http://schemas.openxmlformats.org/drawingml/2006/main">
                <a:solidFill>
                  <a:srgbClr val="1E40AF"/>
                </a:solidFill>
                <a:prstDash val="solid"/>
              </a:ln>
            </spPr>
          </marker>
          <xVal>
            <numRef>
              <f>'_DATOS'!$A$3:$A$6</f>
            </numRef>
          </xVal>
          <yVal>
            <numRef>
              <f>'_DATOS'!$B$3:$B$6</f>
            </numRef>
          </yVal>
          <smooth val="0"/>
        </ser>
        <ser>
          <idx val="2"/>
          <order val="2"/>
          <tx>
            <v>Máxima Densidad Seca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10"/>
            <spPr>
              <a:solidFill xmlns:a="http://schemas.openxmlformats.org/drawingml/2006/main">
                <a:srgbClr val="059669"/>
              </a:solidFill>
              <a:ln xmlns:a="http://schemas.openxmlformats.org/drawingml/2006/main">
                <a:solidFill>
                  <a:srgbClr val="059669"/>
                </a:solidFill>
                <a:prstDash val="solid"/>
              </a:ln>
            </spPr>
          </marker>
          <xVal>
            <numRef>
              <f>'_DATOS'!$K$3</f>
            </numRef>
          </xVal>
          <yVal>
            <numRef>
              <f>'_DATOS'!$L$3</f>
            </numRef>
          </yVal>
          <smooth val="0"/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Relationship Type="http://schemas.openxmlformats.org/officeDocument/2006/relationships/image" Target="/xl/media/image2.png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45</row>
      <rowOff>0</rowOff>
    </from>
    <ext cx="5903999" cy="453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238250" cy="4953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7</col>
      <colOff>0</colOff>
      <row>0</row>
      <rowOff>0</rowOff>
    </from>
    <ext cx="1047750" cy="4953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7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 ht="20" customHeight="1">
      <c r="C1" s="1" t="inlineStr">
        <is>
          <t>GOBIERNO REGIONAL CUSCO</t>
        </is>
      </c>
    </row>
    <row r="2" ht="15" customHeight="1">
      <c r="C2" s="2" t="inlineStr">
        <is>
          <t>Gerencia Regional de Transportes y Comunicaciones Cusco</t>
        </is>
      </c>
    </row>
    <row r="3" ht="12" customHeight="1">
      <c r="C3" s="3" t="inlineStr">
        <is>
          <t>SUB GERENCIA DE COBERTURA Y COMUNICACIONES</t>
        </is>
      </c>
    </row>
    <row r="4" ht="12" customHeight="1">
      <c r="C4" s="3" t="inlineStr">
        <is>
          <t>UNIDAD FUNCIONAL ESTUDIOS Y PROYECTOS</t>
        </is>
      </c>
    </row>
    <row r="5" ht="14" customHeight="1">
      <c r="C5" s="2" t="inlineStr">
        <is>
          <t>Laboratorio de Mecánica de Suelos, Materiales y Pavimentos</t>
        </is>
      </c>
    </row>
    <row r="6" ht="12" customHeight="1">
      <c r="C6" s="4" t="inlineStr">
        <is>
          <t>«Año de la recuperación y consolidación de la economía peruana»</t>
        </is>
      </c>
    </row>
    <row r="7" ht="4" customHeight="1"/>
    <row r="8" ht="20" customHeight="1">
      <c r="A8" s="5" t="inlineStr">
        <is>
          <t>CÓDIGO</t>
        </is>
      </c>
      <c r="B8" s="6" t="n"/>
      <c r="C8" s="7" t="n"/>
      <c r="D8" s="7" t="n"/>
      <c r="E8" s="7" t="n"/>
      <c r="F8" s="7" t="n"/>
      <c r="G8" s="7" t="n"/>
      <c r="H8" s="7" t="n"/>
      <c r="I8" s="7" t="n"/>
    </row>
    <row r="9" ht="6" customHeight="1"/>
    <row r="10" ht="20" customHeight="1">
      <c r="A10" s="8" t="inlineStr">
        <is>
          <t>PROYECTO</t>
        </is>
      </c>
      <c r="B10" s="9" t="n"/>
      <c r="C10" s="9" t="n"/>
      <c r="D10" s="9" t="n"/>
      <c r="E10" s="9" t="n"/>
      <c r="F10" s="9" t="n"/>
      <c r="G10" s="9" t="n"/>
      <c r="H10" s="9" t="n"/>
      <c r="I10" s="9" t="n"/>
    </row>
    <row r="11" ht="20" customHeight="1">
      <c r="A11" s="8" t="inlineStr">
        <is>
          <t>UBICACIÓN</t>
        </is>
      </c>
      <c r="B11" s="8" t="inlineStr">
        <is>
          <t>Lugar:</t>
        </is>
      </c>
      <c r="C11" s="10" t="n"/>
      <c r="D11" s="8" t="inlineStr">
        <is>
          <t>Distrito:</t>
        </is>
      </c>
      <c r="E11" s="10" t="n"/>
      <c r="F11" s="8" t="inlineStr">
        <is>
          <t>Provincia:</t>
        </is>
      </c>
      <c r="G11" s="10" t="n"/>
      <c r="H11" s="8" t="inlineStr">
        <is>
          <t>Dpto:</t>
        </is>
      </c>
      <c r="I11" s="10" t="n"/>
    </row>
    <row r="12" ht="20" customHeight="1">
      <c r="A12" s="8" t="inlineStr">
        <is>
          <t>SOLICITANTE</t>
        </is>
      </c>
      <c r="B12" s="11" t="n"/>
      <c r="C12" s="12" t="n"/>
      <c r="D12" s="12" t="n"/>
      <c r="E12" s="13" t="inlineStr">
        <is>
          <t>Fecha Muestreo:</t>
        </is>
      </c>
      <c r="F12" s="14" t="n"/>
      <c r="G12" s="15" t="n"/>
    </row>
    <row r="13" ht="20" customHeight="1">
      <c r="A13" s="8" t="inlineStr">
        <is>
          <t>COORDENADAS</t>
        </is>
      </c>
      <c r="B13" s="8" t="inlineStr">
        <is>
          <t>E:</t>
        </is>
      </c>
      <c r="C13" s="10" t="n"/>
      <c r="E13" s="8" t="inlineStr">
        <is>
          <t>N:</t>
        </is>
      </c>
      <c r="F13" s="10" t="n"/>
      <c r="H13" s="8" t="inlineStr">
        <is>
          <t>Prof. (m):</t>
        </is>
      </c>
      <c r="I13" s="10" t="n"/>
    </row>
    <row r="14" ht="20" customHeight="1">
      <c r="A14" s="8" t="inlineStr">
        <is>
          <t>DATOS DE MUESTRA</t>
        </is>
      </c>
      <c r="B14" s="8" t="inlineStr">
        <is>
          <t>Explor.:</t>
        </is>
      </c>
      <c r="C14" s="16" t="n"/>
      <c r="D14" s="8" t="inlineStr">
        <is>
          <t>Progresiva:</t>
        </is>
      </c>
      <c r="E14" s="16" t="n"/>
      <c r="F14" s="8" t="inlineStr">
        <is>
          <t>Estrato:</t>
        </is>
      </c>
      <c r="G14" s="16" t="n"/>
      <c r="H14" s="8" t="inlineStr">
        <is>
          <t>Lado:</t>
        </is>
      </c>
      <c r="I14" s="16" t="n"/>
    </row>
    <row r="15" ht="6" customHeight="1"/>
    <row r="16">
      <c r="A16" s="17" t="inlineStr">
        <is>
          <t>COMPACTACIÓN PROCTOR MODIFICADO - MTC E 115</t>
        </is>
      </c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8" t="inlineStr">
        <is>
          <t>EQUIPO / MOLDE</t>
        </is>
      </c>
      <c r="B17" s="8" t="inlineStr">
        <is>
          <t>Código:</t>
        </is>
      </c>
      <c r="C17" s="16" t="n"/>
      <c r="D17" s="8" t="inlineStr">
        <is>
          <t>Diám. (cm):</t>
        </is>
      </c>
      <c r="E17" s="16" t="n"/>
      <c r="F17" s="8" t="inlineStr">
        <is>
          <t>Altura (cm):</t>
        </is>
      </c>
      <c r="G17" s="16" t="n"/>
      <c r="H17" s="8" t="inlineStr">
        <is>
          <t>Vol. (cm³):</t>
        </is>
      </c>
      <c r="I17" s="19">
        <f>IF(AND(N(E17)&gt;0,N(G17)&gt;0),ROUND(PI()*POWER(E17,2)*G17/4,1),"")</f>
        <v/>
      </c>
    </row>
    <row r="18">
      <c r="A18" s="8" t="inlineStr">
        <is>
          <t>COMPACTACIÓN</t>
        </is>
      </c>
      <c r="B18" s="8" t="inlineStr">
        <is>
          <t>Golpes/capa:</t>
        </is>
      </c>
      <c r="C18" s="16" t="n"/>
      <c r="D18" s="8" t="inlineStr">
        <is>
          <t>N° capas:</t>
        </is>
      </c>
      <c r="E18" s="16" t="n"/>
      <c r="F18" s="8" t="inlineStr">
        <is>
          <t>Martillo (lb):</t>
        </is>
      </c>
      <c r="G18" s="16" t="n"/>
    </row>
    <row r="19" ht="6" customHeight="1"/>
    <row r="20">
      <c r="A20" s="17" t="inlineStr">
        <is>
          <t>DATOS DE ENSAYO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6" customHeight="1">
      <c r="A21" s="20" t="inlineStr">
        <is>
          <t>Parámetro</t>
        </is>
      </c>
      <c r="B21" s="20" t="inlineStr">
        <is>
          <t>M1</t>
        </is>
      </c>
      <c r="C21" s="7" t="n"/>
      <c r="D21" s="20" t="inlineStr">
        <is>
          <t>M2</t>
        </is>
      </c>
      <c r="E21" s="7" t="n"/>
      <c r="F21" s="20" t="inlineStr">
        <is>
          <t>M3</t>
        </is>
      </c>
      <c r="G21" s="7" t="n"/>
      <c r="H21" s="20" t="inlineStr">
        <is>
          <t>M4</t>
        </is>
      </c>
      <c r="I21" s="7" t="n"/>
    </row>
    <row r="22">
      <c r="A22" s="21" t="inlineStr">
        <is>
          <t>Masa del molde (g)</t>
        </is>
      </c>
      <c r="B22" s="22" t="n"/>
      <c r="C22" s="21" t="n"/>
      <c r="D22" s="22" t="n"/>
      <c r="E22" s="21" t="n"/>
      <c r="F22" s="22" t="n"/>
      <c r="G22" s="21" t="n"/>
      <c r="H22" s="22" t="n"/>
      <c r="I22" s="21" t="n"/>
    </row>
    <row r="23">
      <c r="A23" s="21" t="inlineStr">
        <is>
          <t>Masa molde + suelo húmedo (g)</t>
        </is>
      </c>
      <c r="B23" s="22" t="n"/>
      <c r="C23" s="21" t="n"/>
      <c r="D23" s="22" t="n"/>
      <c r="E23" s="21" t="n"/>
      <c r="F23" s="22" t="n"/>
      <c r="G23" s="21" t="n"/>
      <c r="H23" s="22" t="n"/>
      <c r="I23" s="21" t="n"/>
    </row>
    <row r="24">
      <c r="A24" s="21" t="inlineStr">
        <is>
          <t>Agua incrementada (g)</t>
        </is>
      </c>
      <c r="B24" s="22" t="n"/>
      <c r="C24" s="21" t="n"/>
      <c r="D24" s="22" t="n"/>
      <c r="E24" s="21" t="n"/>
      <c r="F24" s="22" t="n"/>
      <c r="G24" s="21" t="n"/>
      <c r="H24" s="22" t="n"/>
      <c r="I24" s="21" t="n"/>
    </row>
    <row r="25">
      <c r="A25" s="21" t="inlineStr">
        <is>
          <t>Masa del suelo húmedo (g)</t>
        </is>
      </c>
      <c r="B25" s="23">
        <f>IF(COUNT(B22:B23)=2,B23-B22,"")</f>
        <v/>
      </c>
      <c r="C25" s="24" t="n"/>
      <c r="D25" s="23">
        <f>IF(COUNT(D22:D23)=2,D23-D22,"")</f>
        <v/>
      </c>
      <c r="E25" s="24" t="n"/>
      <c r="F25" s="23">
        <f>IF(COUNT(F22:F23)=2,F23-F22,"")</f>
        <v/>
      </c>
      <c r="G25" s="24" t="n"/>
      <c r="H25" s="23">
        <f>IF(COUNT(H22:H23)=2,H23-H22,"")</f>
        <v/>
      </c>
      <c r="I25" s="24" t="n"/>
    </row>
    <row r="26">
      <c r="A26" s="21" t="inlineStr">
        <is>
          <t>Volumen del molde (cm³)</t>
        </is>
      </c>
      <c r="B26" s="23">
        <f>IF(N($I$17)&gt;0,$I$17,2124)</f>
        <v/>
      </c>
      <c r="C26" s="24" t="n"/>
      <c r="D26" s="23">
        <f>IF(N($I$17)&gt;0,$I$17,2124)</f>
        <v/>
      </c>
      <c r="E26" s="24" t="n"/>
      <c r="F26" s="23">
        <f>IF(N($I$17)&gt;0,$I$17,2124)</f>
        <v/>
      </c>
      <c r="G26" s="24" t="n"/>
      <c r="H26" s="23">
        <f>IF(N($I$17)&gt;0,$I$17,2124)</f>
        <v/>
      </c>
      <c r="I26" s="24" t="n"/>
    </row>
    <row r="27">
      <c r="A27" s="21" t="inlineStr">
        <is>
          <t>Densidad húmeda (g/cm³)</t>
        </is>
      </c>
      <c r="B27" s="25">
        <f>IF(AND(ISNUMBER(B25),N(B26)&gt;0),IFERROR(B25/B26,0),"")</f>
        <v/>
      </c>
      <c r="C27" s="24" t="n"/>
      <c r="D27" s="25">
        <f>IF(AND(ISNUMBER(D25),N(D26)&gt;0),IFERROR(D25/D26,0),"")</f>
        <v/>
      </c>
      <c r="E27" s="24" t="n"/>
      <c r="F27" s="25">
        <f>IF(AND(ISNUMBER(F25),N(F26)&gt;0),IFERROR(F25/F26,0),"")</f>
        <v/>
      </c>
      <c r="G27" s="24" t="n"/>
      <c r="H27" s="25">
        <f>IF(AND(ISNUMBER(H25),N(H26)&gt;0),IFERROR(H25/H26,0),"")</f>
        <v/>
      </c>
      <c r="I27" s="24" t="n"/>
    </row>
    <row r="28" ht="6" customHeight="1"/>
    <row r="30">
      <c r="A30" s="17" t="inlineStr">
        <is>
          <t>CÁLCULO DE LA HUMEDAD</t>
        </is>
      </c>
      <c r="B30" s="18" t="n"/>
      <c r="C30" s="18" t="n"/>
      <c r="D30" s="18" t="n"/>
      <c r="E30" s="18" t="n"/>
      <c r="F30" s="18" t="n"/>
      <c r="G30" s="18" t="n"/>
      <c r="H30" s="18" t="n"/>
      <c r="I30" s="18" t="n"/>
    </row>
    <row r="31" ht="16" customHeight="1">
      <c r="A31" s="20" t="inlineStr">
        <is>
          <t>Parámetro</t>
        </is>
      </c>
      <c r="B31" s="20" t="inlineStr">
        <is>
          <t>M1</t>
        </is>
      </c>
      <c r="C31" s="7" t="n"/>
      <c r="D31" s="20" t="inlineStr">
        <is>
          <t>M2</t>
        </is>
      </c>
      <c r="E31" s="7" t="n"/>
      <c r="F31" s="20" t="inlineStr">
        <is>
          <t>M3</t>
        </is>
      </c>
      <c r="G31" s="7" t="n"/>
      <c r="H31" s="20" t="inlineStr">
        <is>
          <t>M4</t>
        </is>
      </c>
      <c r="I31" s="7" t="n"/>
    </row>
    <row r="32">
      <c r="A32" s="21" t="inlineStr">
        <is>
          <t>Cápsula N°</t>
        </is>
      </c>
      <c r="B32" s="21" t="n"/>
      <c r="C32" s="21" t="n"/>
      <c r="D32" s="21" t="n"/>
      <c r="E32" s="21" t="n"/>
      <c r="F32" s="21" t="n"/>
      <c r="G32" s="21" t="n"/>
      <c r="H32" s="21" t="n"/>
      <c r="I32" s="21" t="n"/>
    </row>
    <row r="33">
      <c r="A33" s="21" t="inlineStr">
        <is>
          <t>Masa de cápsula (g)</t>
        </is>
      </c>
      <c r="B33" s="22" t="n"/>
      <c r="C33" s="21" t="n"/>
      <c r="D33" s="22" t="n"/>
      <c r="E33" s="21" t="n"/>
      <c r="F33" s="22" t="n"/>
      <c r="G33" s="21" t="n"/>
      <c r="H33" s="22" t="n"/>
      <c r="I33" s="21" t="n"/>
    </row>
    <row r="34">
      <c r="A34" s="21" t="inlineStr">
        <is>
          <t>Masa cápsula + suelo húmedo (g)</t>
        </is>
      </c>
      <c r="B34" s="22" t="n"/>
      <c r="C34" s="21" t="n"/>
      <c r="D34" s="22" t="n"/>
      <c r="E34" s="21" t="n"/>
      <c r="F34" s="22" t="n"/>
      <c r="G34" s="21" t="n"/>
      <c r="H34" s="22" t="n"/>
      <c r="I34" s="21" t="n"/>
    </row>
    <row r="35">
      <c r="A35" s="21" t="inlineStr">
        <is>
          <t>Masa cápsula + suelo seco (g)</t>
        </is>
      </c>
      <c r="B35" s="22" t="n"/>
      <c r="C35" s="21" t="n"/>
      <c r="D35" s="22" t="n"/>
      <c r="E35" s="21" t="n"/>
      <c r="F35" s="22" t="n"/>
      <c r="G35" s="21" t="n"/>
      <c r="H35" s="22" t="n"/>
      <c r="I35" s="21" t="n"/>
    </row>
    <row r="36">
      <c r="A36" s="21" t="inlineStr">
        <is>
          <t>Masa de agua (g)</t>
        </is>
      </c>
      <c r="B36" s="23">
        <f>IF(COUNT(B34:B35)=2,B34-B35,"")</f>
        <v/>
      </c>
      <c r="C36" s="24" t="n"/>
      <c r="D36" s="23">
        <f>IF(COUNT(D34:D35)=2,D34-D35,"")</f>
        <v/>
      </c>
      <c r="E36" s="24" t="n"/>
      <c r="F36" s="23">
        <f>IF(COUNT(F34:F35)=2,F34-F35,"")</f>
        <v/>
      </c>
      <c r="G36" s="24" t="n"/>
      <c r="H36" s="23">
        <f>IF(COUNT(H34:H35)=2,H34-H35,"")</f>
        <v/>
      </c>
      <c r="I36" s="24" t="n"/>
    </row>
    <row r="37">
      <c r="A37" s="21" t="inlineStr">
        <is>
          <t>Masa de suelo seco (g)</t>
        </is>
      </c>
      <c r="B37" s="23">
        <f>IF(COUNT(B33,B35)=2,B35-B33,"")</f>
        <v/>
      </c>
      <c r="C37" s="24" t="n"/>
      <c r="D37" s="23">
        <f>IF(COUNT(D33,D35)=2,D35-D33,"")</f>
        <v/>
      </c>
      <c r="E37" s="24" t="n"/>
      <c r="F37" s="23">
        <f>IF(COUNT(F33,F35)=2,F35-F33,"")</f>
        <v/>
      </c>
      <c r="G37" s="24" t="n"/>
      <c r="H37" s="23">
        <f>IF(COUNT(H33,H35)=2,H35-H33,"")</f>
        <v/>
      </c>
      <c r="I37" s="24" t="n"/>
    </row>
    <row r="38">
      <c r="A38" s="21" t="inlineStr">
        <is>
          <t>Contenido de humedad (%)</t>
        </is>
      </c>
      <c r="B38" s="23">
        <f>IF(AND(ISNUMBER(B37),N(B37)&gt;0),IFERROR(B36/B37*100,0),"")</f>
        <v/>
      </c>
      <c r="C38" s="24" t="n"/>
      <c r="D38" s="23">
        <f>IF(AND(ISNUMBER(D37),N(D37)&gt;0),IFERROR(D36/D37*100,0),"")</f>
        <v/>
      </c>
      <c r="E38" s="24" t="n"/>
      <c r="F38" s="23">
        <f>IF(AND(ISNUMBER(F37),N(F37)&gt;0),IFERROR(F36/F37*100,0),"")</f>
        <v/>
      </c>
      <c r="G38" s="24" t="n"/>
      <c r="H38" s="23">
        <f>IF(AND(ISNUMBER(H37),N(H37)&gt;0),IFERROR(H36/H37*100,0),"")</f>
        <v/>
      </c>
      <c r="I38" s="24" t="n"/>
    </row>
    <row r="39">
      <c r="A39" s="21" t="inlineStr">
        <is>
          <t>Densidad seca (g/cm³)</t>
        </is>
      </c>
      <c r="B39" s="25">
        <f>IF(AND(ISNUMBER(B38),ISNUMBER(B27)),IFERROR(B27/(1+B38/100),0),"")</f>
        <v/>
      </c>
      <c r="C39" s="24" t="n"/>
      <c r="D39" s="25">
        <f>IF(AND(ISNUMBER(D38),ISNUMBER(D27)),IFERROR(D27/(1+D38/100),0),"")</f>
        <v/>
      </c>
      <c r="E39" s="24" t="n"/>
      <c r="F39" s="25">
        <f>IF(AND(ISNUMBER(F38),ISNUMBER(F27)),IFERROR(F27/(1+F38/100),0),"")</f>
        <v/>
      </c>
      <c r="G39" s="24" t="n"/>
      <c r="H39" s="25">
        <f>IF(AND(ISNUMBER(H38),ISNUMBER(H27)),IFERROR(H27/(1+H38/100),0),"")</f>
        <v/>
      </c>
      <c r="I39" s="24" t="n"/>
    </row>
    <row r="41">
      <c r="A41" s="8" t="inlineStr">
        <is>
          <t>MÁXIMA DENSIDAD SECA (g/cm³)</t>
        </is>
      </c>
      <c r="B41" s="26">
        <f>IF(ISNUMBER(_DATOS!$F$5),_DATOS!$F$5,"")</f>
        <v/>
      </c>
      <c r="C41" s="9" t="n"/>
      <c r="D41" s="9" t="n"/>
      <c r="E41" s="9" t="n"/>
      <c r="F41" s="9" t="n"/>
      <c r="G41" s="9" t="n"/>
      <c r="H41" s="9" t="n"/>
      <c r="I41" s="9" t="n"/>
    </row>
    <row r="42">
      <c r="A42" s="8" t="inlineStr">
        <is>
          <t>HUMEDAD ÓPTIMA (%)</t>
        </is>
      </c>
      <c r="B42" s="27">
        <f>IF(ISNUMBER(_DATOS!$F$4),_DATOS!$F$4,"")</f>
        <v/>
      </c>
      <c r="C42" s="9" t="n"/>
      <c r="D42" s="9" t="n"/>
      <c r="E42" s="9" t="n"/>
      <c r="F42" s="9" t="n"/>
      <c r="G42" s="9" t="n"/>
      <c r="H42" s="9" t="n"/>
      <c r="I42" s="9" t="n"/>
    </row>
    <row r="43" ht="6" customHeight="1"/>
    <row r="45">
      <c r="A45" s="17" t="inlineStr">
        <is>
          <t>CURVA DE COMPACTACIÓN</t>
        </is>
      </c>
      <c r="B45" s="18" t="n"/>
      <c r="C45" s="18" t="n"/>
      <c r="D45" s="18" t="n"/>
      <c r="E45" s="18" t="n"/>
      <c r="F45" s="18" t="n"/>
      <c r="G45" s="18" t="n"/>
      <c r="H45" s="18" t="n"/>
      <c r="I45" s="18" t="n"/>
    </row>
    <row r="76">
      <c r="A76" s="28" t="n"/>
      <c r="B76" s="28" t="n"/>
      <c r="C76" s="28" t="n"/>
      <c r="D76" s="28" t="n"/>
      <c r="E76" s="28" t="n"/>
      <c r="F76" s="28" t="n"/>
      <c r="G76" s="28" t="n"/>
      <c r="H76" s="28" t="n"/>
      <c r="I76" s="28" t="n"/>
    </row>
    <row r="77">
      <c r="A77" s="29" t="inlineStr">
        <is>
          <t>ESP. ENSAYOS GEOTECNICOS</t>
        </is>
      </c>
      <c r="D77" s="29" t="inlineStr">
        <is>
          <t>ESP. SUELOS Y PAVIMENTOS</t>
        </is>
      </c>
      <c r="G77" s="29" t="inlineStr">
        <is>
          <t>SUPERVISOR</t>
        </is>
      </c>
    </row>
  </sheetData>
  <mergeCells count="87">
    <mergeCell ref="H35:I35"/>
    <mergeCell ref="F25:G25"/>
    <mergeCell ref="C5:G5"/>
    <mergeCell ref="B22:C22"/>
    <mergeCell ref="D22:E22"/>
    <mergeCell ref="B31:C31"/>
    <mergeCell ref="D36:E36"/>
    <mergeCell ref="D31:E31"/>
    <mergeCell ref="H39:I39"/>
    <mergeCell ref="C4:G4"/>
    <mergeCell ref="B21:C21"/>
    <mergeCell ref="B8:I8"/>
    <mergeCell ref="B38:C38"/>
    <mergeCell ref="F23:G23"/>
    <mergeCell ref="B10:I10"/>
    <mergeCell ref="H37:I37"/>
    <mergeCell ref="A77:C77"/>
    <mergeCell ref="F13:G13"/>
    <mergeCell ref="A30:I30"/>
    <mergeCell ref="B24:C24"/>
    <mergeCell ref="D24:E24"/>
    <mergeCell ref="B33:C33"/>
    <mergeCell ref="D33:E33"/>
    <mergeCell ref="H23:I23"/>
    <mergeCell ref="B32:C32"/>
    <mergeCell ref="B26:C26"/>
    <mergeCell ref="D26:E26"/>
    <mergeCell ref="B35:C35"/>
    <mergeCell ref="D35:E35"/>
    <mergeCell ref="E12:F12"/>
    <mergeCell ref="B25:C25"/>
    <mergeCell ref="D34:E34"/>
    <mergeCell ref="F34:G34"/>
    <mergeCell ref="B27:C27"/>
    <mergeCell ref="H25:I25"/>
    <mergeCell ref="H34:I34"/>
    <mergeCell ref="F33:G33"/>
    <mergeCell ref="H36:I36"/>
    <mergeCell ref="B37:C37"/>
    <mergeCell ref="D37:E37"/>
    <mergeCell ref="F31:G31"/>
    <mergeCell ref="D39:E39"/>
    <mergeCell ref="F39:G39"/>
    <mergeCell ref="D23:E23"/>
    <mergeCell ref="D38:E38"/>
    <mergeCell ref="A45:I45"/>
    <mergeCell ref="B41:I41"/>
    <mergeCell ref="H38:I38"/>
    <mergeCell ref="H31:I31"/>
    <mergeCell ref="F21:G21"/>
    <mergeCell ref="H21:I21"/>
    <mergeCell ref="D27:E27"/>
    <mergeCell ref="F36:G36"/>
    <mergeCell ref="C2:G2"/>
    <mergeCell ref="B34:C34"/>
    <mergeCell ref="F22:G22"/>
    <mergeCell ref="G12:I12"/>
    <mergeCell ref="H22:I22"/>
    <mergeCell ref="D25:E25"/>
    <mergeCell ref="B12:D12"/>
    <mergeCell ref="D77:F77"/>
    <mergeCell ref="A16:I16"/>
    <mergeCell ref="A8"/>
    <mergeCell ref="C6:G6"/>
    <mergeCell ref="D21:E21"/>
    <mergeCell ref="B39:C39"/>
    <mergeCell ref="F24:G24"/>
    <mergeCell ref="C1:G1"/>
    <mergeCell ref="B23:C23"/>
    <mergeCell ref="B42:I42"/>
    <mergeCell ref="D32:E32"/>
    <mergeCell ref="F32:G32"/>
    <mergeCell ref="F26:G26"/>
    <mergeCell ref="A20:I20"/>
    <mergeCell ref="F35:G35"/>
    <mergeCell ref="F38:G38"/>
    <mergeCell ref="H32:I32"/>
    <mergeCell ref="F27:G27"/>
    <mergeCell ref="H27:I27"/>
    <mergeCell ref="G77:I77"/>
    <mergeCell ref="F37:G37"/>
    <mergeCell ref="H24:I24"/>
    <mergeCell ref="H33:I33"/>
    <mergeCell ref="B36:C36"/>
    <mergeCell ref="C13:D13"/>
    <mergeCell ref="C3:G3"/>
    <mergeCell ref="H26:I26"/>
  </mergeCells>
  <pageMargins left="0.35" right="0.35" top="0.45" bottom="0.45" header="0.5" footer="0.5"/>
  <pageSetup orientation="portrait" paperSize="9" fitToHeight="0" fitToWidth="1"/>
  <rowBreaks count="1" manualBreakCount="1">
    <brk id="44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selection activeCell="A1" sqref="A1"/>
    </sheetView>
  </sheetViews>
  <sheetFormatPr baseColWidth="8" defaultRowHeight="15"/>
  <sheetData>
    <row r="1">
      <c r="F1">
        <f>IFERROR(INDEX(LINEST(B3:B6,A3:A6^{1,2}),1,1),"")</f>
        <v/>
      </c>
    </row>
    <row r="2">
      <c r="F2">
        <f>IFERROR(INDEX(LINEST(B3:B6,A3:A6^{1,2}),1,2),"")</f>
        <v/>
      </c>
    </row>
    <row r="3">
      <c r="A3">
        <f>IF(OR(NOT(ISNUMBER(Reporte!B38)),NOT(ISNUMBER(Reporte!B39)),Reporte!B39=0),NA(),Reporte!B38)</f>
        <v/>
      </c>
      <c r="B3">
        <f>IF(ISNA(A3),NA(),Reporte!B39)</f>
        <v/>
      </c>
      <c r="F3">
        <f>IFERROR(INDEX(LINEST(B3:B6,A3:A6^{1,2}),1,3),"")</f>
        <v/>
      </c>
      <c r="H3">
        <f>IF(OR(NOT(ISNUMBER($F$1)),NOT(ISNUMBER($F$4))),NA(),$F$4+(ROW()-13)*0.5)</f>
        <v/>
      </c>
      <c r="I3">
        <f>IF(ISNA(H3),NA(),$F$1*H3^2+$F$2*H3+$F$3)</f>
        <v/>
      </c>
      <c r="K3">
        <f>IF(ISNUMBER($F$4),$F$4,NA())</f>
        <v/>
      </c>
      <c r="L3">
        <f>IF(ISNUMBER($F$5),$F$5,NA())</f>
        <v/>
      </c>
    </row>
    <row r="4">
      <c r="A4">
        <f>IF(OR(NOT(ISNUMBER(Reporte!D38)),NOT(ISNUMBER(Reporte!D39)),Reporte!D39=0),NA(),Reporte!D38)</f>
        <v/>
      </c>
      <c r="B4">
        <f>IF(ISNA(A4),NA(),Reporte!D39)</f>
        <v/>
      </c>
      <c r="F4">
        <f>IF(AND(ISNUMBER(F1),N(F1)&lt;&gt;0),-F2/(2*F1),"")</f>
        <v/>
      </c>
      <c r="H4">
        <f>IF(OR(NOT(ISNUMBER($F$1)),NOT(ISNUMBER($F$4))),NA(),$F$4+(ROW()-13)*0.5)</f>
        <v/>
      </c>
      <c r="I4">
        <f>IF(ISNA(H4),NA(),$F$1*H4^2+$F$2*H4+$F$3)</f>
        <v/>
      </c>
    </row>
    <row r="5">
      <c r="A5">
        <f>IF(OR(NOT(ISNUMBER(Reporte!F38)),NOT(ISNUMBER(Reporte!F39)),Reporte!F39=0),NA(),Reporte!F38)</f>
        <v/>
      </c>
      <c r="B5">
        <f>IF(ISNA(A5),NA(),Reporte!F39)</f>
        <v/>
      </c>
      <c r="F5">
        <f>IF(ISNUMBER(F4),F1*F4^2+F2*F4+F3,"")</f>
        <v/>
      </c>
      <c r="H5">
        <f>IF(OR(NOT(ISNUMBER($F$1)),NOT(ISNUMBER($F$4))),NA(),$F$4+(ROW()-13)*0.5)</f>
        <v/>
      </c>
      <c r="I5">
        <f>IF(ISNA(H5),NA(),$F$1*H5^2+$F$2*H5+$F$3)</f>
        <v/>
      </c>
    </row>
    <row r="6">
      <c r="A6">
        <f>IF(OR(NOT(ISNUMBER(Reporte!H38)),NOT(ISNUMBER(Reporte!H39)),Reporte!H39=0),NA(),Reporte!H38)</f>
        <v/>
      </c>
      <c r="B6">
        <f>IF(ISNA(A6),NA(),Reporte!H39)</f>
        <v/>
      </c>
      <c r="H6">
        <f>IF(OR(NOT(ISNUMBER($F$1)),NOT(ISNUMBER($F$4))),NA(),$F$4+(ROW()-13)*0.5)</f>
        <v/>
      </c>
      <c r="I6">
        <f>IF(ISNA(H6),NA(),$F$1*H6^2+$F$2*H6+$F$3)</f>
        <v/>
      </c>
    </row>
    <row r="7">
      <c r="H7">
        <f>IF(OR(NOT(ISNUMBER($F$1)),NOT(ISNUMBER($F$4))),NA(),$F$4+(ROW()-13)*0.5)</f>
        <v/>
      </c>
      <c r="I7">
        <f>IF(ISNA(H7),NA(),$F$1*H7^2+$F$2*H7+$F$3)</f>
        <v/>
      </c>
    </row>
    <row r="8">
      <c r="H8">
        <f>IF(OR(NOT(ISNUMBER($F$1)),NOT(ISNUMBER($F$4))),NA(),$F$4+(ROW()-13)*0.5)</f>
        <v/>
      </c>
      <c r="I8">
        <f>IF(ISNA(H8),NA(),$F$1*H8^2+$F$2*H8+$F$3)</f>
        <v/>
      </c>
    </row>
    <row r="9">
      <c r="H9">
        <f>IF(OR(NOT(ISNUMBER($F$1)),NOT(ISNUMBER($F$4))),NA(),$F$4+(ROW()-13)*0.5)</f>
        <v/>
      </c>
      <c r="I9">
        <f>IF(ISNA(H9),NA(),$F$1*H9^2+$F$2*H9+$F$3)</f>
        <v/>
      </c>
    </row>
    <row r="10">
      <c r="H10">
        <f>IF(OR(NOT(ISNUMBER($F$1)),NOT(ISNUMBER($F$4))),NA(),$F$4+(ROW()-13)*0.5)</f>
        <v/>
      </c>
      <c r="I10">
        <f>IF(ISNA(H10),NA(),$F$1*H10^2+$F$2*H10+$F$3)</f>
        <v/>
      </c>
    </row>
    <row r="11">
      <c r="H11">
        <f>IF(OR(NOT(ISNUMBER($F$1)),NOT(ISNUMBER($F$4))),NA(),$F$4+(ROW()-13)*0.5)</f>
        <v/>
      </c>
      <c r="I11">
        <f>IF(ISNA(H11),NA(),$F$1*H11^2+$F$2*H11+$F$3)</f>
        <v/>
      </c>
    </row>
    <row r="12">
      <c r="H12">
        <f>IF(OR(NOT(ISNUMBER($F$1)),NOT(ISNUMBER($F$4))),NA(),$F$4+(ROW()-13)*0.5)</f>
        <v/>
      </c>
      <c r="I12">
        <f>IF(ISNA(H12),NA(),$F$1*H12^2+$F$2*H12+$F$3)</f>
        <v/>
      </c>
    </row>
    <row r="13">
      <c r="H13">
        <f>IF(OR(NOT(ISNUMBER($F$1)),NOT(ISNUMBER($F$4))),NA(),$F$4+(ROW()-13)*0.5)</f>
        <v/>
      </c>
      <c r="I13">
        <f>IF(ISNA(H13),NA(),$F$1*H13^2+$F$2*H13+$F$3)</f>
        <v/>
      </c>
    </row>
    <row r="14">
      <c r="H14">
        <f>IF(OR(NOT(ISNUMBER($F$1)),NOT(ISNUMBER($F$4))),NA(),$F$4+(ROW()-13)*0.5)</f>
        <v/>
      </c>
      <c r="I14">
        <f>IF(ISNA(H14),NA(),$F$1*H14^2+$F$2*H14+$F$3)</f>
        <v/>
      </c>
    </row>
    <row r="15">
      <c r="H15">
        <f>IF(OR(NOT(ISNUMBER($F$1)),NOT(ISNUMBER($F$4))),NA(),$F$4+(ROW()-13)*0.5)</f>
        <v/>
      </c>
      <c r="I15">
        <f>IF(ISNA(H15),NA(),$F$1*H15^2+$F$2*H15+$F$3)</f>
        <v/>
      </c>
    </row>
    <row r="16">
      <c r="H16">
        <f>IF(OR(NOT(ISNUMBER($F$1)),NOT(ISNUMBER($F$4))),NA(),$F$4+(ROW()-13)*0.5)</f>
        <v/>
      </c>
      <c r="I16">
        <f>IF(ISNA(H16),NA(),$F$1*H16^2+$F$2*H16+$F$3)</f>
        <v/>
      </c>
    </row>
    <row r="17">
      <c r="H17">
        <f>IF(OR(NOT(ISNUMBER($F$1)),NOT(ISNUMBER($F$4))),NA(),$F$4+(ROW()-13)*0.5)</f>
        <v/>
      </c>
      <c r="I17">
        <f>IF(ISNA(H17),NA(),$F$1*H17^2+$F$2*H17+$F$3)</f>
        <v/>
      </c>
    </row>
    <row r="18">
      <c r="H18">
        <f>IF(OR(NOT(ISNUMBER($F$1)),NOT(ISNUMBER($F$4))),NA(),$F$4+(ROW()-13)*0.5)</f>
        <v/>
      </c>
      <c r="I18">
        <f>IF(ISNA(H18),NA(),$F$1*H18^2+$F$2*H18+$F$3)</f>
        <v/>
      </c>
    </row>
    <row r="19">
      <c r="H19">
        <f>IF(OR(NOT(ISNUMBER($F$1)),NOT(ISNUMBER($F$4))),NA(),$F$4+(ROW()-13)*0.5)</f>
        <v/>
      </c>
      <c r="I19">
        <f>IF(ISNA(H19),NA(),$F$1*H19^2+$F$2*H19+$F$3)</f>
        <v/>
      </c>
    </row>
    <row r="20">
      <c r="H20">
        <f>IF(OR(NOT(ISNUMBER($F$1)),NOT(ISNUMBER($F$4))),NA(),$F$4+(ROW()-13)*0.5)</f>
        <v/>
      </c>
      <c r="I20">
        <f>IF(ISNA(H20),NA(),$F$1*H20^2+$F$2*H20+$F$3)</f>
        <v/>
      </c>
    </row>
    <row r="21">
      <c r="H21">
        <f>IF(OR(NOT(ISNUMBER($F$1)),NOT(ISNUMBER($F$4))),NA(),$F$4+(ROW()-13)*0.5)</f>
        <v/>
      </c>
      <c r="I21">
        <f>IF(ISNA(H21),NA(),$F$1*H21^2+$F$2*H21+$F$3)</f>
        <v/>
      </c>
    </row>
    <row r="22">
      <c r="H22">
        <f>IF(OR(NOT(ISNUMBER($F$1)),NOT(ISNUMBER($F$4))),NA(),$F$4+(ROW()-13)*0.5)</f>
        <v/>
      </c>
      <c r="I22">
        <f>IF(ISNA(H22),NA(),$F$1*H22^2+$F$2*H22+$F$3)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4A3B8"/>
    <outlinePr summaryBelow="1" summaryRight="1"/>
    <pageSetUpPr/>
  </sheetPr>
  <dimension ref="A1:S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titulo</t>
        </is>
      </c>
      <c r="C1" t="inlineStr">
        <is>
          <t>tipo</t>
        </is>
      </c>
      <c r="D1" t="inlineStr">
        <is>
          <t>ancla</t>
        </is>
      </c>
      <c r="E1" t="inlineStr">
        <is>
          <t>ancho_px</t>
        </is>
      </c>
      <c r="F1" t="inlineStr">
        <is>
          <t>alto_px</t>
        </is>
      </c>
      <c r="G1" t="inlineStr">
        <is>
          <t>x_log</t>
        </is>
      </c>
      <c r="H1" t="inlineStr">
        <is>
          <t>x_min</t>
        </is>
      </c>
      <c r="I1" t="inlineStr">
        <is>
          <t>x_max</t>
        </is>
      </c>
      <c r="J1" t="inlineStr">
        <is>
          <t>y_min</t>
        </is>
      </c>
      <c r="K1" t="inlineStr">
        <is>
          <t>y_max</t>
        </is>
      </c>
      <c r="L1" t="inlineStr">
        <is>
          <t>titulo_x</t>
        </is>
      </c>
      <c r="M1" t="inlineStr">
        <is>
          <t>titulo_y</t>
        </is>
      </c>
      <c r="N1" t="inlineStr">
        <is>
          <t>serie</t>
        </is>
      </c>
      <c r="O1" t="inlineStr">
        <is>
          <t>estilo</t>
        </is>
      </c>
      <c r="P1" t="inlineStr">
        <is>
          <t>rango_x</t>
        </is>
      </c>
      <c r="Q1" t="inlineStr">
        <is>
          <t>rango_y</t>
        </is>
      </c>
      <c r="R1" t="inlineStr">
        <is>
          <t>color</t>
        </is>
      </c>
      <c r="S1" t="inlineStr">
        <is>
          <t>orden</t>
        </is>
      </c>
    </row>
    <row r="2">
      <c r="A2" t="inlineStr">
        <is>
          <t>curva_compactacion</t>
        </is>
      </c>
      <c r="B2" t="inlineStr">
        <is>
          <t>Curva de Compactación Proctor Modificado</t>
        </is>
      </c>
      <c r="C2" t="inlineStr">
        <is>
          <t>xy</t>
        </is>
      </c>
      <c r="D2" t="inlineStr">
        <is>
          <t>A46</t>
        </is>
      </c>
      <c r="E2" t="n">
        <v>620</v>
      </c>
      <c r="F2" t="n">
        <v>480</v>
      </c>
      <c r="G2" t="inlineStr">
        <is>
          <t>NO</t>
        </is>
      </c>
      <c r="H2" t="inlineStr"/>
      <c r="I2" t="inlineStr"/>
      <c r="J2" t="inlineStr"/>
      <c r="K2" t="inlineStr"/>
      <c r="L2" t="inlineStr">
        <is>
          <t>Contenido de Humedad (%)</t>
        </is>
      </c>
      <c r="M2" t="inlineStr">
        <is>
          <t>Densidad Seca (g/cm³)</t>
        </is>
      </c>
      <c r="N2" t="inlineStr">
        <is>
          <t>Ajuste Cuadrático</t>
        </is>
      </c>
      <c r="O2" t="inlineStr">
        <is>
          <t>linea_suave</t>
        </is>
      </c>
      <c r="P2" t="inlineStr">
        <is>
          <t>'_DATOS'!$H$3:$H$22</t>
        </is>
      </c>
      <c r="Q2" t="inlineStr">
        <is>
          <t>'_DATOS'!$I$3:$I$22</t>
        </is>
      </c>
      <c r="R2" t="inlineStr">
        <is>
          <t>DC2626</t>
        </is>
      </c>
      <c r="S2" t="n">
        <v>1</v>
      </c>
    </row>
    <row r="3">
      <c r="A3" t="inlineStr">
        <is>
          <t>curva_compactacion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>
        <is>
          <t>Puntos de Ensayo</t>
        </is>
      </c>
      <c r="O3" t="inlineStr">
        <is>
          <t>marcador</t>
        </is>
      </c>
      <c r="P3" t="inlineStr">
        <is>
          <t>'_DATOS'!$A$3:$A$6</t>
        </is>
      </c>
      <c r="Q3" t="inlineStr">
        <is>
          <t>'_DATOS'!$B$3:$B$6</t>
        </is>
      </c>
      <c r="R3" t="inlineStr">
        <is>
          <t>1E40AF</t>
        </is>
      </c>
      <c r="S3" t="n">
        <v>2</v>
      </c>
    </row>
    <row r="4">
      <c r="A4" t="inlineStr">
        <is>
          <t>curva_compactacion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>
        <is>
          <t>Máxima Densidad Seca</t>
        </is>
      </c>
      <c r="O4" t="inlineStr">
        <is>
          <t>marcador</t>
        </is>
      </c>
      <c r="P4" t="inlineStr">
        <is>
          <t>'_DATOS'!$K$3:$K$3</t>
        </is>
      </c>
      <c r="Q4" t="inlineStr">
        <is>
          <t>'_DATOS'!$L$3:$L$3</t>
        </is>
      </c>
      <c r="R4" t="inlineStr">
        <is>
          <t>059669</t>
        </is>
      </c>
      <c r="S4" t="n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4A3B8"/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ruta</t>
        </is>
      </c>
      <c r="B1" t="inlineStr">
        <is>
          <t>celda</t>
        </is>
      </c>
      <c r="C1" t="inlineStr">
        <is>
          <t>tipo</t>
        </is>
      </c>
      <c r="D1" t="inlineStr">
        <is>
          <t>formato</t>
        </is>
      </c>
    </row>
    <row r="2">
      <c r="A2" t="inlineStr">
        <is>
          <t>meta.codigo_ensayo</t>
        </is>
      </c>
      <c r="B2" t="inlineStr">
        <is>
          <t>B8</t>
        </is>
      </c>
      <c r="C2" t="inlineStr">
        <is>
          <t>texto</t>
        </is>
      </c>
    </row>
    <row r="3">
      <c r="A3" t="inlineStr">
        <is>
          <t>meta.proyecto_nombre</t>
        </is>
      </c>
      <c r="B3" t="inlineStr">
        <is>
          <t>B10</t>
        </is>
      </c>
      <c r="C3" t="inlineStr">
        <is>
          <t>texto</t>
        </is>
      </c>
    </row>
    <row r="4">
      <c r="A4" t="inlineStr">
        <is>
          <t>meta.tramo_nombre</t>
        </is>
      </c>
      <c r="B4" t="inlineStr">
        <is>
          <t>C11</t>
        </is>
      </c>
      <c r="C4" t="inlineStr">
        <is>
          <t>texto</t>
        </is>
      </c>
    </row>
    <row r="5">
      <c r="A5" t="inlineStr">
        <is>
          <t>meta.distrito</t>
        </is>
      </c>
      <c r="B5" t="inlineStr">
        <is>
          <t>E11</t>
        </is>
      </c>
      <c r="C5" t="inlineStr">
        <is>
          <t>texto</t>
        </is>
      </c>
    </row>
    <row r="6">
      <c r="A6" t="inlineStr">
        <is>
          <t>meta.provincia</t>
        </is>
      </c>
      <c r="B6" t="inlineStr">
        <is>
          <t>G11</t>
        </is>
      </c>
      <c r="C6" t="inlineStr">
        <is>
          <t>texto</t>
        </is>
      </c>
    </row>
    <row r="7">
      <c r="A7" t="inlineStr">
        <is>
          <t>meta.departamento</t>
        </is>
      </c>
      <c r="B7" t="inlineStr">
        <is>
          <t>I11</t>
        </is>
      </c>
      <c r="C7" t="inlineStr">
        <is>
          <t>texto</t>
        </is>
      </c>
    </row>
    <row r="8">
      <c r="A8" t="inlineStr">
        <is>
          <t>meta.solicitante</t>
        </is>
      </c>
      <c r="B8" t="inlineStr">
        <is>
          <t>B12</t>
        </is>
      </c>
      <c r="C8" t="inlineStr">
        <is>
          <t>texto</t>
        </is>
      </c>
    </row>
    <row r="9">
      <c r="A9" t="inlineStr">
        <is>
          <t>meta.fecha_muestreo</t>
        </is>
      </c>
      <c r="B9" t="inlineStr">
        <is>
          <t>G12</t>
        </is>
      </c>
      <c r="C9" t="inlineStr">
        <is>
          <t>fecha</t>
        </is>
      </c>
      <c r="D9" t="inlineStr">
        <is>
          <t>dddd d" de "mmmm" de "yyyy</t>
        </is>
      </c>
    </row>
    <row r="10">
      <c r="A10" t="inlineStr">
        <is>
          <t>meta.coordenada_este</t>
        </is>
      </c>
      <c r="B10" t="inlineStr">
        <is>
          <t>C13</t>
        </is>
      </c>
      <c r="C10" t="inlineStr">
        <is>
          <t>numero</t>
        </is>
      </c>
      <c r="D10" t="inlineStr">
        <is>
          <t>0.00</t>
        </is>
      </c>
    </row>
    <row r="11">
      <c r="A11" t="inlineStr">
        <is>
          <t>meta.coordenada_norte</t>
        </is>
      </c>
      <c r="B11" t="inlineStr">
        <is>
          <t>F13</t>
        </is>
      </c>
      <c r="C11" t="inlineStr">
        <is>
          <t>numero</t>
        </is>
      </c>
      <c r="D11" t="inlineStr">
        <is>
          <t>0.00</t>
        </is>
      </c>
    </row>
    <row r="12">
      <c r="A12" t="inlineStr">
        <is>
          <t>meta.profundidad</t>
        </is>
      </c>
      <c r="B12" t="inlineStr">
        <is>
          <t>I13</t>
        </is>
      </c>
      <c r="C12" t="inlineStr">
        <is>
          <t>texto</t>
        </is>
      </c>
    </row>
    <row r="13">
      <c r="A13" t="inlineStr">
        <is>
          <t>meta.calicata</t>
        </is>
      </c>
      <c r="B13" t="inlineStr">
        <is>
          <t>C14</t>
        </is>
      </c>
      <c r="C13" t="inlineStr">
        <is>
          <t>texto</t>
        </is>
      </c>
    </row>
    <row r="14">
      <c r="A14" t="inlineStr">
        <is>
          <t>meta.progresiva</t>
        </is>
      </c>
      <c r="B14" t="inlineStr">
        <is>
          <t>E14</t>
        </is>
      </c>
      <c r="C14" t="inlineStr">
        <is>
          <t>texto</t>
        </is>
      </c>
    </row>
    <row r="15">
      <c r="A15" t="inlineStr">
        <is>
          <t>meta.estrato</t>
        </is>
      </c>
      <c r="B15" t="inlineStr">
        <is>
          <t>G14</t>
        </is>
      </c>
      <c r="C15" t="inlineStr">
        <is>
          <t>texto</t>
        </is>
      </c>
    </row>
    <row r="16">
      <c r="A16" t="inlineStr">
        <is>
          <t>meta.lado</t>
        </is>
      </c>
      <c r="B16" t="inlineStr">
        <is>
          <t>I14</t>
        </is>
      </c>
      <c r="C16" t="inlineStr">
        <is>
          <t>texto</t>
        </is>
      </c>
    </row>
    <row r="17">
      <c r="A17" t="inlineStr">
        <is>
          <t>datos.general_fields.codigo_molde</t>
        </is>
      </c>
      <c r="B17" t="inlineStr">
        <is>
          <t>C17</t>
        </is>
      </c>
      <c r="C17" t="inlineStr">
        <is>
          <t>texto</t>
        </is>
      </c>
    </row>
    <row r="18">
      <c r="A18" t="inlineStr">
        <is>
          <t>datos.general_fields.diametro_cm</t>
        </is>
      </c>
      <c r="B18" t="inlineStr">
        <is>
          <t>E17</t>
        </is>
      </c>
      <c r="C18" t="inlineStr">
        <is>
          <t>numero</t>
        </is>
      </c>
      <c r="D18" t="inlineStr">
        <is>
          <t>0.00</t>
        </is>
      </c>
    </row>
    <row r="19">
      <c r="A19" t="inlineStr">
        <is>
          <t>datos.general_fields.altura_cm</t>
        </is>
      </c>
      <c r="B19" t="inlineStr">
        <is>
          <t>G17</t>
        </is>
      </c>
      <c r="C19" t="inlineStr">
        <is>
          <t>numero</t>
        </is>
      </c>
      <c r="D19" t="inlineStr">
        <is>
          <t>0.00</t>
        </is>
      </c>
    </row>
    <row r="20">
      <c r="A20" t="inlineStr">
        <is>
          <t>datos.general_fields.golpes_por_capa</t>
        </is>
      </c>
      <c r="B20" t="inlineStr">
        <is>
          <t>C18</t>
        </is>
      </c>
      <c r="C20" t="inlineStr">
        <is>
          <t>numero</t>
        </is>
      </c>
      <c r="D20" t="inlineStr">
        <is>
          <t>0</t>
        </is>
      </c>
    </row>
    <row r="21">
      <c r="A21" t="inlineStr">
        <is>
          <t>datos.general_fields.numero_capas</t>
        </is>
      </c>
      <c r="B21" t="inlineStr">
        <is>
          <t>E18</t>
        </is>
      </c>
      <c r="C21" t="inlineStr">
        <is>
          <t>numero</t>
        </is>
      </c>
      <c r="D21" t="inlineStr">
        <is>
          <t>0</t>
        </is>
      </c>
    </row>
    <row r="22">
      <c r="A22" t="inlineStr">
        <is>
          <t>datos.general_fields.masa_martillo_lb</t>
        </is>
      </c>
      <c r="B22" t="inlineStr">
        <is>
          <t>G18</t>
        </is>
      </c>
      <c r="C22" t="inlineStr">
        <is>
          <t>numero</t>
        </is>
      </c>
      <c r="D22" t="inlineStr">
        <is>
          <t>0</t>
        </is>
      </c>
    </row>
    <row r="23">
      <c r="A23" t="inlineStr">
        <is>
          <t>datos.tables.datos_ensayo.m1.masa_molde</t>
        </is>
      </c>
      <c r="B23" t="inlineStr">
        <is>
          <t>B22</t>
        </is>
      </c>
      <c r="C23" t="inlineStr">
        <is>
          <t>numero</t>
        </is>
      </c>
      <c r="D23" t="inlineStr">
        <is>
          <t>0.00</t>
        </is>
      </c>
    </row>
    <row r="24">
      <c r="A24" t="inlineStr">
        <is>
          <t>datos.tables.datos_ensayo.m1.masa_suelo_humedo_molde</t>
        </is>
      </c>
      <c r="B24" t="inlineStr">
        <is>
          <t>B23</t>
        </is>
      </c>
      <c r="C24" t="inlineStr">
        <is>
          <t>numero</t>
        </is>
      </c>
      <c r="D24" t="inlineStr">
        <is>
          <t>0.00</t>
        </is>
      </c>
    </row>
    <row r="25">
      <c r="A25" t="inlineStr">
        <is>
          <t>datos.tables.datos_ensayo.m1.agua_incrementada</t>
        </is>
      </c>
      <c r="B25" t="inlineStr">
        <is>
          <t>B24</t>
        </is>
      </c>
      <c r="C25" t="inlineStr">
        <is>
          <t>numero</t>
        </is>
      </c>
      <c r="D25" t="inlineStr">
        <is>
          <t>0.00</t>
        </is>
      </c>
    </row>
    <row r="26">
      <c r="A26" t="inlineStr">
        <is>
          <t>datos.tables.datos_ensayo.m2.masa_molde</t>
        </is>
      </c>
      <c r="B26" t="inlineStr">
        <is>
          <t>D22</t>
        </is>
      </c>
      <c r="C26" t="inlineStr">
        <is>
          <t>numero</t>
        </is>
      </c>
      <c r="D26" t="inlineStr">
        <is>
          <t>0.00</t>
        </is>
      </c>
    </row>
    <row r="27">
      <c r="A27" t="inlineStr">
        <is>
          <t>datos.tables.datos_ensayo.m2.masa_suelo_humedo_molde</t>
        </is>
      </c>
      <c r="B27" t="inlineStr">
        <is>
          <t>D23</t>
        </is>
      </c>
      <c r="C27" t="inlineStr">
        <is>
          <t>numero</t>
        </is>
      </c>
      <c r="D27" t="inlineStr">
        <is>
          <t>0.00</t>
        </is>
      </c>
    </row>
    <row r="28">
      <c r="A28" t="inlineStr">
        <is>
          <t>datos.tables.datos_ensayo.m2.agua_incrementada</t>
        </is>
      </c>
      <c r="B28" t="inlineStr">
        <is>
          <t>D24</t>
        </is>
      </c>
      <c r="C28" t="inlineStr">
        <is>
          <t>numero</t>
        </is>
      </c>
      <c r="D28" t="inlineStr">
        <is>
          <t>0.00</t>
        </is>
      </c>
    </row>
    <row r="29">
      <c r="A29" t="inlineStr">
        <is>
          <t>datos.tables.datos_ensayo.m3.masa_molde</t>
        </is>
      </c>
      <c r="B29" t="inlineStr">
        <is>
          <t>F22</t>
        </is>
      </c>
      <c r="C29" t="inlineStr">
        <is>
          <t>numero</t>
        </is>
      </c>
      <c r="D29" t="inlineStr">
        <is>
          <t>0.00</t>
        </is>
      </c>
    </row>
    <row r="30">
      <c r="A30" t="inlineStr">
        <is>
          <t>datos.tables.datos_ensayo.m3.masa_suelo_humedo_molde</t>
        </is>
      </c>
      <c r="B30" t="inlineStr">
        <is>
          <t>F23</t>
        </is>
      </c>
      <c r="C30" t="inlineStr">
        <is>
          <t>numero</t>
        </is>
      </c>
      <c r="D30" t="inlineStr">
        <is>
          <t>0.00</t>
        </is>
      </c>
    </row>
    <row r="31">
      <c r="A31" t="inlineStr">
        <is>
          <t>datos.tables.datos_ensayo.m3.agua_incrementada</t>
        </is>
      </c>
      <c r="B31" t="inlineStr">
        <is>
          <t>F24</t>
        </is>
      </c>
      <c r="C31" t="inlineStr">
        <is>
          <t>numero</t>
        </is>
      </c>
      <c r="D31" t="inlineStr">
        <is>
          <t>0.00</t>
        </is>
      </c>
    </row>
    <row r="32">
      <c r="A32" t="inlineStr">
        <is>
          <t>datos.tables.datos_ensayo.m4.masa_molde</t>
        </is>
      </c>
      <c r="B32" t="inlineStr">
        <is>
          <t>H22</t>
        </is>
      </c>
      <c r="C32" t="inlineStr">
        <is>
          <t>numero</t>
        </is>
      </c>
      <c r="D32" t="inlineStr">
        <is>
          <t>0.00</t>
        </is>
      </c>
    </row>
    <row r="33">
      <c r="A33" t="inlineStr">
        <is>
          <t>datos.tables.datos_ensayo.m4.masa_suelo_humedo_molde</t>
        </is>
      </c>
      <c r="B33" t="inlineStr">
        <is>
          <t>H23</t>
        </is>
      </c>
      <c r="C33" t="inlineStr">
        <is>
          <t>numero</t>
        </is>
      </c>
      <c r="D33" t="inlineStr">
        <is>
          <t>0.00</t>
        </is>
      </c>
    </row>
    <row r="34">
      <c r="A34" t="inlineStr">
        <is>
          <t>datos.tables.datos_ensayo.m4.agua_incrementada</t>
        </is>
      </c>
      <c r="B34" t="inlineStr">
        <is>
          <t>H24</t>
        </is>
      </c>
      <c r="C34" t="inlineStr">
        <is>
          <t>numero</t>
        </is>
      </c>
      <c r="D34" t="inlineStr">
        <is>
          <t>0.00</t>
        </is>
      </c>
    </row>
    <row r="35">
      <c r="A35" t="inlineStr">
        <is>
          <t>datos.tables.calculo_humedad.m1.capsula_nro</t>
        </is>
      </c>
      <c r="B35" t="inlineStr">
        <is>
          <t>B32</t>
        </is>
      </c>
      <c r="C35" t="inlineStr">
        <is>
          <t>texto</t>
        </is>
      </c>
    </row>
    <row r="36">
      <c r="A36" t="inlineStr">
        <is>
          <t>datos.tables.calculo_humedad.m1.masa_capsula</t>
        </is>
      </c>
      <c r="B36" t="inlineStr">
        <is>
          <t>B33</t>
        </is>
      </c>
      <c r="C36" t="inlineStr">
        <is>
          <t>numero</t>
        </is>
      </c>
      <c r="D36" t="inlineStr">
        <is>
          <t>0.00</t>
        </is>
      </c>
    </row>
    <row r="37">
      <c r="A37" t="inlineStr">
        <is>
          <t>datos.tables.calculo_humedad.m1.masa_capsula_suelo_humedo</t>
        </is>
      </c>
      <c r="B37" t="inlineStr">
        <is>
          <t>B34</t>
        </is>
      </c>
      <c r="C37" t="inlineStr">
        <is>
          <t>numero</t>
        </is>
      </c>
      <c r="D37" t="inlineStr">
        <is>
          <t>0.00</t>
        </is>
      </c>
    </row>
    <row r="38">
      <c r="A38" t="inlineStr">
        <is>
          <t>datos.tables.calculo_humedad.m1.masa_capsula_suelo_seco</t>
        </is>
      </c>
      <c r="B38" t="inlineStr">
        <is>
          <t>B35</t>
        </is>
      </c>
      <c r="C38" t="inlineStr">
        <is>
          <t>numero</t>
        </is>
      </c>
      <c r="D38" t="inlineStr">
        <is>
          <t>0.00</t>
        </is>
      </c>
    </row>
    <row r="39">
      <c r="A39" t="inlineStr">
        <is>
          <t>datos.tables.calculo_humedad.m2.capsula_nro</t>
        </is>
      </c>
      <c r="B39" t="inlineStr">
        <is>
          <t>D32</t>
        </is>
      </c>
      <c r="C39" t="inlineStr">
        <is>
          <t>texto</t>
        </is>
      </c>
    </row>
    <row r="40">
      <c r="A40" t="inlineStr">
        <is>
          <t>datos.tables.calculo_humedad.m2.masa_capsula</t>
        </is>
      </c>
      <c r="B40" t="inlineStr">
        <is>
          <t>D33</t>
        </is>
      </c>
      <c r="C40" t="inlineStr">
        <is>
          <t>numero</t>
        </is>
      </c>
      <c r="D40" t="inlineStr">
        <is>
          <t>0.00</t>
        </is>
      </c>
    </row>
    <row r="41">
      <c r="A41" t="inlineStr">
        <is>
          <t>datos.tables.calculo_humedad.m2.masa_capsula_suelo_humedo</t>
        </is>
      </c>
      <c r="B41" t="inlineStr">
        <is>
          <t>D34</t>
        </is>
      </c>
      <c r="C41" t="inlineStr">
        <is>
          <t>numero</t>
        </is>
      </c>
      <c r="D41" t="inlineStr">
        <is>
          <t>0.00</t>
        </is>
      </c>
    </row>
    <row r="42">
      <c r="A42" t="inlineStr">
        <is>
          <t>datos.tables.calculo_humedad.m2.masa_capsula_suelo_seco</t>
        </is>
      </c>
      <c r="B42" t="inlineStr">
        <is>
          <t>D35</t>
        </is>
      </c>
      <c r="C42" t="inlineStr">
        <is>
          <t>numero</t>
        </is>
      </c>
      <c r="D42" t="inlineStr">
        <is>
          <t>0.00</t>
        </is>
      </c>
    </row>
    <row r="43">
      <c r="A43" t="inlineStr">
        <is>
          <t>datos.tables.calculo_humedad.m3.capsula_nro</t>
        </is>
      </c>
      <c r="B43" t="inlineStr">
        <is>
          <t>F32</t>
        </is>
      </c>
      <c r="C43" t="inlineStr">
        <is>
          <t>texto</t>
        </is>
      </c>
    </row>
    <row r="44">
      <c r="A44" t="inlineStr">
        <is>
          <t>datos.tables.calculo_humedad.m3.masa_capsula</t>
        </is>
      </c>
      <c r="B44" t="inlineStr">
        <is>
          <t>F33</t>
        </is>
      </c>
      <c r="C44" t="inlineStr">
        <is>
          <t>numero</t>
        </is>
      </c>
      <c r="D44" t="inlineStr">
        <is>
          <t>0.00</t>
        </is>
      </c>
    </row>
    <row r="45">
      <c r="A45" t="inlineStr">
        <is>
          <t>datos.tables.calculo_humedad.m3.masa_capsula_suelo_humedo</t>
        </is>
      </c>
      <c r="B45" t="inlineStr">
        <is>
          <t>F34</t>
        </is>
      </c>
      <c r="C45" t="inlineStr">
        <is>
          <t>numero</t>
        </is>
      </c>
      <c r="D45" t="inlineStr">
        <is>
          <t>0.00</t>
        </is>
      </c>
    </row>
    <row r="46">
      <c r="A46" t="inlineStr">
        <is>
          <t>datos.tables.calculo_humedad.m3.masa_capsula_suelo_seco</t>
        </is>
      </c>
      <c r="B46" t="inlineStr">
        <is>
          <t>F35</t>
        </is>
      </c>
      <c r="C46" t="inlineStr">
        <is>
          <t>numero</t>
        </is>
      </c>
      <c r="D46" t="inlineStr">
        <is>
          <t>0.00</t>
        </is>
      </c>
    </row>
    <row r="47">
      <c r="A47" t="inlineStr">
        <is>
          <t>datos.tables.calculo_humedad.m4.capsula_nro</t>
        </is>
      </c>
      <c r="B47" t="inlineStr">
        <is>
          <t>H32</t>
        </is>
      </c>
      <c r="C47" t="inlineStr">
        <is>
          <t>texto</t>
        </is>
      </c>
    </row>
    <row r="48">
      <c r="A48" t="inlineStr">
        <is>
          <t>datos.tables.calculo_humedad.m4.masa_capsula</t>
        </is>
      </c>
      <c r="B48" t="inlineStr">
        <is>
          <t>H33</t>
        </is>
      </c>
      <c r="C48" t="inlineStr">
        <is>
          <t>numero</t>
        </is>
      </c>
      <c r="D48" t="inlineStr">
        <is>
          <t>0.00</t>
        </is>
      </c>
    </row>
    <row r="49">
      <c r="A49" t="inlineStr">
        <is>
          <t>datos.tables.calculo_humedad.m4.masa_capsula_suelo_humedo</t>
        </is>
      </c>
      <c r="B49" t="inlineStr">
        <is>
          <t>H34</t>
        </is>
      </c>
      <c r="C49" t="inlineStr">
        <is>
          <t>numero</t>
        </is>
      </c>
      <c r="D49" t="inlineStr">
        <is>
          <t>0.00</t>
        </is>
      </c>
    </row>
    <row r="50">
      <c r="A50" t="inlineStr">
        <is>
          <t>datos.tables.calculo_humedad.m4.masa_capsula_suelo_seco</t>
        </is>
      </c>
      <c r="B50" t="inlineStr">
        <is>
          <t>H35</t>
        </is>
      </c>
      <c r="C50" t="inlineStr">
        <is>
          <t>numero</t>
        </is>
      </c>
      <c r="D50" t="inlineStr">
        <is>
          <t>0.00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2026-09-07T15:41:28Z</dcterms:created>
  <dcterms:modified xmlns:dcterms="http://purl.org/dc/terms/" xmlns:xsi="http://www.w3.org/2001/XMLSchema-instance" xsi:type="dcterms:W3CDTF">2026-09-07T15:41:28Z</dcterms:modified>
</cp:coreProperties>
</file>