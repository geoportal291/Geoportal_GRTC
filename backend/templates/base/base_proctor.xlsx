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CurvaX">'_DATOS'!$A$3:$A$6</definedName>
    <definedName name="CurvaY">'_DATOS'!$B$3:$B$6</definedName>
    <definedName name="AjusteX">'_DATOS'!$H$3:$H$22</definedName>
    <definedName name="AjusteY">'_DATOS'!$I$3:$I$22</definedName>
    <definedName name="MDSX">'_DATOS'!$K$3</definedName>
    <definedName name="MDSY">'_DATOS'!$L$3</definedName>
    <definedName name="_xlnm.Print_Area" localSheetId="0">'Reporte'!$A$1:$I$78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&quot; g/cm³&quot;"/>
    <numFmt numFmtId="166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7" borderId="0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166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Compactación — Densidad Seca (g/cm³) vs Humedad (%)</a:t>
            </a:r>
          </a:p>
        </rich>
      </tx>
    </title>
    <plotArea>
      <scatterChart>
        <varyColors val="0"/>
        <ser>
          <idx val="0"/>
          <order val="0"/>
          <tx>
            <v>Ajuste Cuadrático</v>
          </tx>
          <spPr>
            <a:ln xmlns:a="http://schemas.openxmlformats.org/drawingml/2006/main" w="24000">
              <a:solidFill>
                <a:srgbClr val="DC262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'_DATOS'!$H$3:$H$22</f>
            </numRef>
          </xVal>
          <yVal>
            <numRef>
              <f>'_DATOS'!$I$3:$I$22</f>
            </numRef>
          </yVal>
          <smooth val="1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'_DATOS'!$A$3:$A$6</f>
            </numRef>
          </xVal>
          <yVal>
            <numRef>
              <f>'_DATOS'!$B$3:$B$6</f>
            </numRef>
          </yVal>
          <smooth val="0"/>
        </ser>
        <ser>
          <idx val="2"/>
          <order val="2"/>
          <tx>
            <v>Máxima Densidad Seca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'_DATOS'!$K$3</f>
            </numRef>
          </xVal>
          <yVal>
            <numRef>
              <f>'_DATOS'!$L$3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45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0" t="n"/>
      <c r="D14" s="8" t="inlineStr">
        <is>
          <t>Progresiva:</t>
        </is>
      </c>
      <c r="E14" s="10" t="n"/>
      <c r="F14" s="8" t="inlineStr">
        <is>
          <t>Estrato:</t>
        </is>
      </c>
      <c r="G14" s="10" t="n"/>
      <c r="H14" s="8" t="inlineStr">
        <is>
          <t>Lado:</t>
        </is>
      </c>
      <c r="I14" s="10" t="n"/>
    </row>
    <row r="15" ht="6" customHeight="1"/>
    <row r="16">
      <c r="A16" s="16" t="inlineStr">
        <is>
          <t>COMPACTACIÓN PROCTOR MODIFICADO - MTC E 115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8" t="inlineStr">
        <is>
          <t>EQUIPO / MOLDE</t>
        </is>
      </c>
      <c r="B17" s="8" t="inlineStr">
        <is>
          <t>Código:</t>
        </is>
      </c>
      <c r="C17" s="10" t="n"/>
      <c r="D17" s="8" t="inlineStr">
        <is>
          <t>Diám. (cm):</t>
        </is>
      </c>
      <c r="E17" s="10" t="n"/>
      <c r="F17" s="8" t="inlineStr">
        <is>
          <t>Altura (cm):</t>
        </is>
      </c>
      <c r="G17" s="10" t="n"/>
      <c r="H17" s="8" t="inlineStr">
        <is>
          <t>Vol. (cm³):</t>
        </is>
      </c>
      <c r="I17" s="18">
        <f>IF(AND(N(E17)&gt;0,N(G17)&gt;0),ROUND(PI()*POWER(E17,2)*G17/4,1),"")</f>
        <v/>
      </c>
    </row>
    <row r="18">
      <c r="A18" s="8" t="inlineStr">
        <is>
          <t>COMPACTACIÓN</t>
        </is>
      </c>
      <c r="B18" s="8" t="inlineStr">
        <is>
          <t>Golpes/capa:</t>
        </is>
      </c>
      <c r="C18" s="10" t="n"/>
      <c r="D18" s="8" t="inlineStr">
        <is>
          <t>N° capas:</t>
        </is>
      </c>
      <c r="E18" s="10" t="n"/>
      <c r="F18" s="8" t="inlineStr">
        <is>
          <t>Martillo (lb):</t>
        </is>
      </c>
      <c r="G18" s="10" t="n"/>
    </row>
    <row r="19" ht="6" customHeight="1"/>
    <row r="20">
      <c r="A20" s="16" t="inlineStr">
        <is>
          <t>DATOS DE ENSAYO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</row>
    <row r="21" ht="16" customHeight="1">
      <c r="A21" s="19" t="inlineStr">
        <is>
          <t>Parámetro</t>
        </is>
      </c>
      <c r="B21" s="19" t="inlineStr">
        <is>
          <t>M1</t>
        </is>
      </c>
      <c r="C21" s="19" t="inlineStr">
        <is>
          <t>M2</t>
        </is>
      </c>
      <c r="D21" s="19" t="inlineStr">
        <is>
          <t>M3</t>
        </is>
      </c>
      <c r="E21" s="19" t="inlineStr">
        <is>
          <t>M4</t>
        </is>
      </c>
    </row>
    <row r="22">
      <c r="A22" s="20" t="inlineStr">
        <is>
          <t>Masa del molde (g)</t>
        </is>
      </c>
      <c r="B22" s="21" t="n"/>
      <c r="C22" s="21" t="n"/>
      <c r="D22" s="21" t="n"/>
      <c r="E22" s="21" t="n"/>
    </row>
    <row r="23">
      <c r="A23" s="20" t="inlineStr">
        <is>
          <t>Masa molde + suelo húmedo (g)</t>
        </is>
      </c>
      <c r="B23" s="21" t="n"/>
      <c r="C23" s="21" t="n"/>
      <c r="D23" s="21" t="n"/>
      <c r="E23" s="21" t="n"/>
    </row>
    <row r="24">
      <c r="A24" s="20" t="inlineStr">
        <is>
          <t>Agua incrementada (g)</t>
        </is>
      </c>
      <c r="B24" s="21" t="n"/>
      <c r="C24" s="21" t="n"/>
      <c r="D24" s="21" t="n"/>
      <c r="E24" s="21" t="n"/>
    </row>
    <row r="25">
      <c r="A25" s="20" t="inlineStr">
        <is>
          <t>Masa del suelo húmedo (g)</t>
        </is>
      </c>
      <c r="B25" s="22">
        <f>IF(COUNT(B22:B23)=2,B23-B22,"")</f>
        <v/>
      </c>
      <c r="C25" s="22">
        <f>IF(COUNT(C22:C23)=2,C23-C22,"")</f>
        <v/>
      </c>
      <c r="D25" s="22">
        <f>IF(COUNT(D22:D23)=2,D23-D22,"")</f>
        <v/>
      </c>
      <c r="E25" s="22">
        <f>IF(COUNT(E22:E23)=2,E23-E22,"")</f>
        <v/>
      </c>
    </row>
    <row r="26">
      <c r="A26" s="20" t="inlineStr">
        <is>
          <t>Volumen del molde (cm³)</t>
        </is>
      </c>
      <c r="B26" s="22">
        <f>IF(N($I$17)&gt;0,$I$17,2124)</f>
        <v/>
      </c>
      <c r="C26" s="22">
        <f>IF(N($I$17)&gt;0,$I$17,2124)</f>
        <v/>
      </c>
      <c r="D26" s="22">
        <f>IF(N($I$17)&gt;0,$I$17,2124)</f>
        <v/>
      </c>
      <c r="E26" s="22">
        <f>IF(N($I$17)&gt;0,$I$17,2124)</f>
        <v/>
      </c>
    </row>
    <row r="27">
      <c r="A27" s="20" t="inlineStr">
        <is>
          <t>Densidad húmeda (g/cm³)</t>
        </is>
      </c>
      <c r="B27" s="23">
        <f>IF(AND(ISNUMBER(B25),N(B26)&gt;0),IFERROR(B25/B26,0),"")</f>
        <v/>
      </c>
      <c r="C27" s="23">
        <f>IF(AND(ISNUMBER(C25),N(C26)&gt;0),IFERROR(C25/C26,0),"")</f>
        <v/>
      </c>
      <c r="D27" s="23">
        <f>IF(AND(ISNUMBER(D25),N(D26)&gt;0),IFERROR(D25/D26,0),"")</f>
        <v/>
      </c>
      <c r="E27" s="23">
        <f>IF(AND(ISNUMBER(E25),N(E26)&gt;0),IFERROR(E25/E26,0),"")</f>
        <v/>
      </c>
    </row>
    <row r="28" ht="6" customHeight="1"/>
    <row r="30">
      <c r="A30" s="16" t="inlineStr">
        <is>
          <t>CÁLCULO DE LA HUMEDAD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</row>
    <row r="31" ht="16" customHeight="1">
      <c r="A31" s="19" t="inlineStr">
        <is>
          <t>Parámetro</t>
        </is>
      </c>
      <c r="B31" s="19" t="inlineStr">
        <is>
          <t>M1</t>
        </is>
      </c>
      <c r="C31" s="19" t="inlineStr">
        <is>
          <t>M2</t>
        </is>
      </c>
      <c r="D31" s="19" t="inlineStr">
        <is>
          <t>M3</t>
        </is>
      </c>
      <c r="E31" s="19" t="inlineStr">
        <is>
          <t>M4</t>
        </is>
      </c>
    </row>
    <row r="32">
      <c r="A32" s="20" t="inlineStr">
        <is>
          <t>Cápsula N°</t>
        </is>
      </c>
      <c r="B32" s="20" t="n"/>
      <c r="C32" s="20" t="n"/>
      <c r="D32" s="20" t="n"/>
      <c r="E32" s="20" t="n"/>
    </row>
    <row r="33">
      <c r="A33" s="20" t="inlineStr">
        <is>
          <t>Masa de cápsula (g)</t>
        </is>
      </c>
      <c r="B33" s="21" t="n"/>
      <c r="C33" s="21" t="n"/>
      <c r="D33" s="21" t="n"/>
      <c r="E33" s="21" t="n"/>
    </row>
    <row r="34">
      <c r="A34" s="20" t="inlineStr">
        <is>
          <t>Masa cápsula + suelo húmedo (g)</t>
        </is>
      </c>
      <c r="B34" s="21" t="n"/>
      <c r="C34" s="21" t="n"/>
      <c r="D34" s="21" t="n"/>
      <c r="E34" s="21" t="n"/>
    </row>
    <row r="35">
      <c r="A35" s="20" t="inlineStr">
        <is>
          <t>Masa cápsula + suelo seco (g)</t>
        </is>
      </c>
      <c r="B35" s="21" t="n"/>
      <c r="C35" s="21" t="n"/>
      <c r="D35" s="21" t="n"/>
      <c r="E35" s="21" t="n"/>
    </row>
    <row r="36">
      <c r="A36" s="20" t="inlineStr">
        <is>
          <t>Masa de agua (g)</t>
        </is>
      </c>
      <c r="B36" s="22">
        <f>IF(COUNT(B34:B35)=2,B34-B35,"")</f>
        <v/>
      </c>
      <c r="C36" s="22">
        <f>IF(COUNT(C34:C35)=2,C34-C35,"")</f>
        <v/>
      </c>
      <c r="D36" s="22">
        <f>IF(COUNT(D34:D35)=2,D34-D35,"")</f>
        <v/>
      </c>
      <c r="E36" s="22">
        <f>IF(COUNT(E34:E35)=2,E34-E35,"")</f>
        <v/>
      </c>
    </row>
    <row r="37">
      <c r="A37" s="20" t="inlineStr">
        <is>
          <t>Masa de suelo seco (g)</t>
        </is>
      </c>
      <c r="B37" s="22">
        <f>IF(COUNT(B33,B35)=2,B35-B33,"")</f>
        <v/>
      </c>
      <c r="C37" s="22">
        <f>IF(COUNT(C33,C35)=2,C35-C33,"")</f>
        <v/>
      </c>
      <c r="D37" s="22">
        <f>IF(COUNT(D33,D35)=2,D35-D33,"")</f>
        <v/>
      </c>
      <c r="E37" s="22">
        <f>IF(COUNT(E33,E35)=2,E35-E33,"")</f>
        <v/>
      </c>
    </row>
    <row r="38">
      <c r="A38" s="20" t="inlineStr">
        <is>
          <t>Contenido de humedad (%)</t>
        </is>
      </c>
      <c r="B38" s="22">
        <f>IF(AND(ISNUMBER(B37),N(B37)&gt;0),IFERROR(B36/B37*100,0),"")</f>
        <v/>
      </c>
      <c r="C38" s="22">
        <f>IF(AND(ISNUMBER(C37),N(C37)&gt;0),IFERROR(C36/C37*100,0),"")</f>
        <v/>
      </c>
      <c r="D38" s="22">
        <f>IF(AND(ISNUMBER(D37),N(D37)&gt;0),IFERROR(D36/D37*100,0),"")</f>
        <v/>
      </c>
      <c r="E38" s="22">
        <f>IF(AND(ISNUMBER(E37),N(E37)&gt;0),IFERROR(E36/E37*100,0),"")</f>
        <v/>
      </c>
    </row>
    <row r="39">
      <c r="A39" s="20" t="inlineStr">
        <is>
          <t>Densidad seca (g/cm³)</t>
        </is>
      </c>
      <c r="B39" s="23">
        <f>IF(AND(ISNUMBER(B38),ISNUMBER(B27)),IFERROR(B27/(1+B38/100),0),"")</f>
        <v/>
      </c>
      <c r="C39" s="23">
        <f>IF(AND(ISNUMBER(C38),ISNUMBER(C27)),IFERROR(C27/(1+C38/100),0),"")</f>
        <v/>
      </c>
      <c r="D39" s="23">
        <f>IF(AND(ISNUMBER(D38),ISNUMBER(D27)),IFERROR(D27/(1+D38/100),0),"")</f>
        <v/>
      </c>
      <c r="E39" s="23">
        <f>IF(AND(ISNUMBER(E38),ISNUMBER(E27)),IFERROR(E27/(1+E38/100),0),"")</f>
        <v/>
      </c>
    </row>
    <row r="41">
      <c r="A41" s="8" t="inlineStr">
        <is>
          <t>MÁXIMA DENSIDAD SECA (g/cm³)</t>
        </is>
      </c>
      <c r="B41" s="24">
        <f>IF(ISNUMBER(_DATOS!$F$5),_DATOS!$F$5,"")</f>
        <v/>
      </c>
      <c r="C41" s="9" t="n"/>
      <c r="D41" s="9" t="n"/>
      <c r="E41" s="9" t="n"/>
    </row>
    <row r="42">
      <c r="A42" s="8" t="inlineStr">
        <is>
          <t>HUMEDAD ÓPTIMA (%)</t>
        </is>
      </c>
      <c r="B42" s="25">
        <f>IF(ISNUMBER(_DATOS!$F$4),_DATOS!$F$4,"")</f>
        <v/>
      </c>
      <c r="C42" s="9" t="n"/>
      <c r="D42" s="9" t="n"/>
      <c r="E42" s="9" t="n"/>
    </row>
    <row r="43" ht="6" customHeight="1"/>
    <row r="45">
      <c r="A45" s="16" t="inlineStr">
        <is>
          <t>CURVA DE COMPACTACIÓN</t>
        </is>
      </c>
      <c r="B45" s="17" t="n"/>
      <c r="C45" s="17" t="n"/>
      <c r="D45" s="17" t="n"/>
      <c r="E45" s="17" t="n"/>
      <c r="F45" s="17" t="n"/>
      <c r="G45" s="17" t="n"/>
      <c r="H45" s="17" t="n"/>
      <c r="I45" s="17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</row>
    <row r="77">
      <c r="A77" s="27" t="inlineStr">
        <is>
          <t>ESP. ENSAYOS GEOTECNICOS</t>
        </is>
      </c>
      <c r="D77" s="27" t="inlineStr">
        <is>
          <t>ESP. SUELOS Y PAVIMENTOS</t>
        </is>
      </c>
      <c r="G77" s="27" t="inlineStr">
        <is>
          <t>SUPERVISOR</t>
        </is>
      </c>
    </row>
  </sheetData>
  <mergeCells count="23">
    <mergeCell ref="A8"/>
    <mergeCell ref="E12:F12"/>
    <mergeCell ref="C6:G6"/>
    <mergeCell ref="C5:G5"/>
    <mergeCell ref="C3:G3"/>
    <mergeCell ref="C4:G4"/>
    <mergeCell ref="B41:E41"/>
    <mergeCell ref="C1:G1"/>
    <mergeCell ref="B8:I8"/>
    <mergeCell ref="A20:I20"/>
    <mergeCell ref="C2:G2"/>
    <mergeCell ref="B10:I10"/>
    <mergeCell ref="G12:I12"/>
    <mergeCell ref="F13:G13"/>
    <mergeCell ref="A77:C77"/>
    <mergeCell ref="B42:E42"/>
    <mergeCell ref="A30:I30"/>
    <mergeCell ref="G77:I77"/>
    <mergeCell ref="A45:I45"/>
    <mergeCell ref="C13:D13"/>
    <mergeCell ref="B12:D12"/>
    <mergeCell ref="D77:F77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F1">
        <f>IFERROR(INDEX(LINEST(B3:B6,A3:A6^{1,2}),1,1),"")</f>
        <v/>
      </c>
    </row>
    <row r="2">
      <c r="F2">
        <f>IFERROR(INDEX(LINEST(B3:B6,A3:A6^{1,2}),1,2),"")</f>
        <v/>
      </c>
    </row>
    <row r="3">
      <c r="A3">
        <f>IF(OR(NOT(ISNUMBER(Reporte!B38)),NOT(ISNUMBER(Reporte!B39)),Reporte!B39=0),NA(),Reporte!B38)</f>
        <v/>
      </c>
      <c r="B3">
        <f>IF(ISNA(A3),NA(),Reporte!B39)</f>
        <v/>
      </c>
      <c r="F3">
        <f>IFERROR(INDEX(LINEST(B3:B6,A3:A6^{1,2}),1,3),"")</f>
        <v/>
      </c>
      <c r="H3">
        <f>IF(OR(NOT(ISNUMBER($F$1)),NOT(ISNUMBER($F$4))),NA(),$F$4+(ROW()-13)*0.5)</f>
        <v/>
      </c>
      <c r="I3">
        <f>IF(ISNA(H3),NA(),$F$1*H3^2+$F$2*H3+$F$3)</f>
        <v/>
      </c>
      <c r="K3">
        <f>IF(ISNUMBER($F$4),$F$4,NA())</f>
        <v/>
      </c>
      <c r="L3">
        <f>IF(ISNUMBER($F$5),$F$5,NA())</f>
        <v/>
      </c>
    </row>
    <row r="4">
      <c r="A4">
        <f>IF(OR(NOT(ISNUMBER(Reporte!C38)),NOT(ISNUMBER(Reporte!C39)),Reporte!C39=0),NA(),Reporte!C38)</f>
        <v/>
      </c>
      <c r="B4">
        <f>IF(ISNA(A4),NA(),Reporte!C39)</f>
        <v/>
      </c>
      <c r="F4">
        <f>IF(AND(ISNUMBER(F1),N(F1)&lt;&gt;0),-F2/(2*F1),"")</f>
        <v/>
      </c>
      <c r="H4">
        <f>IF(OR(NOT(ISNUMBER($F$1)),NOT(ISNUMBER($F$4))),NA(),$F$4+(ROW()-13)*0.5)</f>
        <v/>
      </c>
      <c r="I4">
        <f>IF(ISNA(H4),NA(),$F$1*H4^2+$F$2*H4+$F$3)</f>
        <v/>
      </c>
    </row>
    <row r="5">
      <c r="A5">
        <f>IF(OR(NOT(ISNUMBER(Reporte!D38)),NOT(ISNUMBER(Reporte!D39)),Reporte!D39=0),NA(),Reporte!D38)</f>
        <v/>
      </c>
      <c r="B5">
        <f>IF(ISNA(A5),NA(),Reporte!D39)</f>
        <v/>
      </c>
      <c r="F5">
        <f>IF(ISNUMBER(F4),F1*F4^2+F2*F4+F3,"")</f>
        <v/>
      </c>
      <c r="H5">
        <f>IF(OR(NOT(ISNUMBER($F$1)),NOT(ISNUMBER($F$4))),NA(),$F$4+(ROW()-13)*0.5)</f>
        <v/>
      </c>
      <c r="I5">
        <f>IF(ISNA(H5),NA(),$F$1*H5^2+$F$2*H5+$F$3)</f>
        <v/>
      </c>
    </row>
    <row r="6">
      <c r="A6">
        <f>IF(OR(NOT(ISNUMBER(Reporte!E38)),NOT(ISNUMBER(Reporte!E39)),Reporte!E39=0),NA(),Reporte!E38)</f>
        <v/>
      </c>
      <c r="B6">
        <f>IF(ISNA(A6),NA(),Reporte!E39)</f>
        <v/>
      </c>
      <c r="H6">
        <f>IF(OR(NOT(ISNUMBER($F$1)),NOT(ISNUMBER($F$4))),NA(),$F$4+(ROW()-13)*0.5)</f>
        <v/>
      </c>
      <c r="I6">
        <f>IF(ISNA(H6),NA(),$F$1*H6^2+$F$2*H6+$F$3)</f>
        <v/>
      </c>
    </row>
    <row r="7">
      <c r="H7">
        <f>IF(OR(NOT(ISNUMBER($F$1)),NOT(ISNUMBER($F$4))),NA(),$F$4+(ROW()-13)*0.5)</f>
        <v/>
      </c>
      <c r="I7">
        <f>IF(ISNA(H7),NA(),$F$1*H7^2+$F$2*H7+$F$3)</f>
        <v/>
      </c>
    </row>
    <row r="8">
      <c r="H8">
        <f>IF(OR(NOT(ISNUMBER($F$1)),NOT(ISNUMBER($F$4))),NA(),$F$4+(ROW()-13)*0.5)</f>
        <v/>
      </c>
      <c r="I8">
        <f>IF(ISNA(H8),NA(),$F$1*H8^2+$F$2*H8+$F$3)</f>
        <v/>
      </c>
    </row>
    <row r="9">
      <c r="H9">
        <f>IF(OR(NOT(ISNUMBER($F$1)),NOT(ISNUMBER($F$4))),NA(),$F$4+(ROW()-13)*0.5)</f>
        <v/>
      </c>
      <c r="I9">
        <f>IF(ISNA(H9),NA(),$F$1*H9^2+$F$2*H9+$F$3)</f>
        <v/>
      </c>
    </row>
    <row r="10">
      <c r="H10">
        <f>IF(OR(NOT(ISNUMBER($F$1)),NOT(ISNUMBER($F$4))),NA(),$F$4+(ROW()-13)*0.5)</f>
        <v/>
      </c>
      <c r="I10">
        <f>IF(ISNA(H10),NA(),$F$1*H10^2+$F$2*H10+$F$3)</f>
        <v/>
      </c>
    </row>
    <row r="11">
      <c r="H11">
        <f>IF(OR(NOT(ISNUMBER($F$1)),NOT(ISNUMBER($F$4))),NA(),$F$4+(ROW()-13)*0.5)</f>
        <v/>
      </c>
      <c r="I11">
        <f>IF(ISNA(H11),NA(),$F$1*H11^2+$F$2*H11+$F$3)</f>
        <v/>
      </c>
    </row>
    <row r="12">
      <c r="H12">
        <f>IF(OR(NOT(ISNUMBER($F$1)),NOT(ISNUMBER($F$4))),NA(),$F$4+(ROW()-13)*0.5)</f>
        <v/>
      </c>
      <c r="I12">
        <f>IF(ISNA(H12),NA(),$F$1*H12^2+$F$2*H12+$F$3)</f>
        <v/>
      </c>
    </row>
    <row r="13">
      <c r="H13">
        <f>IF(OR(NOT(ISNUMBER($F$1)),NOT(ISNUMBER($F$4))),NA(),$F$4+(ROW()-13)*0.5)</f>
        <v/>
      </c>
      <c r="I13">
        <f>IF(ISNA(H13),NA(),$F$1*H13^2+$F$2*H13+$F$3)</f>
        <v/>
      </c>
    </row>
    <row r="14">
      <c r="H14">
        <f>IF(OR(NOT(ISNUMBER($F$1)),NOT(ISNUMBER($F$4))),NA(),$F$4+(ROW()-13)*0.5)</f>
        <v/>
      </c>
      <c r="I14">
        <f>IF(ISNA(H14),NA(),$F$1*H14^2+$F$2*H14+$F$3)</f>
        <v/>
      </c>
    </row>
    <row r="15">
      <c r="H15">
        <f>IF(OR(NOT(ISNUMBER($F$1)),NOT(ISNUMBER($F$4))),NA(),$F$4+(ROW()-13)*0.5)</f>
        <v/>
      </c>
      <c r="I15">
        <f>IF(ISNA(H15),NA(),$F$1*H15^2+$F$2*H15+$F$3)</f>
        <v/>
      </c>
    </row>
    <row r="16">
      <c r="H16">
        <f>IF(OR(NOT(ISNUMBER($F$1)),NOT(ISNUMBER($F$4))),NA(),$F$4+(ROW()-13)*0.5)</f>
        <v/>
      </c>
      <c r="I16">
        <f>IF(ISNA(H16),NA(),$F$1*H16^2+$F$2*H16+$F$3)</f>
        <v/>
      </c>
    </row>
    <row r="17">
      <c r="H17">
        <f>IF(OR(NOT(ISNUMBER($F$1)),NOT(ISNUMBER($F$4))),NA(),$F$4+(ROW()-13)*0.5)</f>
        <v/>
      </c>
      <c r="I17">
        <f>IF(ISNA(H17),NA(),$F$1*H17^2+$F$2*H17+$F$3)</f>
        <v/>
      </c>
    </row>
    <row r="18">
      <c r="H18">
        <f>IF(OR(NOT(ISNUMBER($F$1)),NOT(ISNUMBER($F$4))),NA(),$F$4+(ROW()-13)*0.5)</f>
        <v/>
      </c>
      <c r="I18">
        <f>IF(ISNA(H18),NA(),$F$1*H18^2+$F$2*H18+$F$3)</f>
        <v/>
      </c>
    </row>
    <row r="19">
      <c r="H19">
        <f>IF(OR(NOT(ISNUMBER($F$1)),NOT(ISNUMBER($F$4))),NA(),$F$4+(ROW()-13)*0.5)</f>
        <v/>
      </c>
      <c r="I19">
        <f>IF(ISNA(H19),NA(),$F$1*H19^2+$F$2*H19+$F$3)</f>
        <v/>
      </c>
    </row>
    <row r="20">
      <c r="H20">
        <f>IF(OR(NOT(ISNUMBER($F$1)),NOT(ISNUMBER($F$4))),NA(),$F$4+(ROW()-13)*0.5)</f>
        <v/>
      </c>
      <c r="I20">
        <f>IF(ISNA(H20),NA(),$F$1*H20^2+$F$2*H20+$F$3)</f>
        <v/>
      </c>
    </row>
    <row r="21">
      <c r="H21">
        <f>IF(OR(NOT(ISNUMBER($F$1)),NOT(ISNUMBER($F$4))),NA(),$F$4+(ROW()-13)*0.5)</f>
        <v/>
      </c>
      <c r="I21">
        <f>IF(ISNA(H21),NA(),$F$1*H21^2+$F$2*H21+$F$3)</f>
        <v/>
      </c>
    </row>
    <row r="22">
      <c r="H22">
        <f>IF(OR(NOT(ISNUMBER($F$1)),NOT(ISNUMBER($F$4))),NA(),$F$4+(ROW()-13)*0.5)</f>
        <v/>
      </c>
      <c r="I22">
        <f>IF(ISNA(H22),NA(),$F$1*H22^2+$F$2*H22+$F$3)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curva_compactacion</t>
        </is>
      </c>
      <c r="B2" t="inlineStr">
        <is>
          <t>Curva de Compactación Proctor Modificado</t>
        </is>
      </c>
      <c r="C2" t="inlineStr">
        <is>
          <t>xy</t>
        </is>
      </c>
      <c r="D2" t="inlineStr">
        <is>
          <t>A46</t>
        </is>
      </c>
      <c r="E2" t="n">
        <v>620</v>
      </c>
      <c r="F2" t="n">
        <v>480</v>
      </c>
      <c r="G2" t="inlineStr">
        <is>
          <t>NO</t>
        </is>
      </c>
      <c r="H2" t="inlineStr"/>
      <c r="I2" t="inlineStr"/>
      <c r="J2" t="inlineStr"/>
      <c r="K2" t="inlineStr"/>
      <c r="L2" t="inlineStr">
        <is>
          <t>Contenido de Humedad (%)</t>
        </is>
      </c>
      <c r="M2" t="inlineStr">
        <is>
          <t>Densidad Seca (g/cm³)</t>
        </is>
      </c>
      <c r="N2" t="inlineStr">
        <is>
          <t>Ajuste Cuadrático</t>
        </is>
      </c>
      <c r="O2" t="inlineStr">
        <is>
          <t>linea_suave</t>
        </is>
      </c>
      <c r="P2" t="inlineStr">
        <is>
          <t>'_DATOS'!$H$3:$H$22</t>
        </is>
      </c>
      <c r="Q2" t="inlineStr">
        <is>
          <t>'_DATOS'!$I$3:$I$22</t>
        </is>
      </c>
      <c r="R2" t="inlineStr">
        <is>
          <t>DC2626</t>
        </is>
      </c>
      <c r="S2" t="n">
        <v>1</v>
      </c>
    </row>
    <row r="3">
      <c r="A3" t="inlineStr">
        <is>
          <t>curva_compactacion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'_DATOS'!$A$3:$A$6</t>
        </is>
      </c>
      <c r="Q3" t="inlineStr">
        <is>
          <t>'_DATOS'!$B$3:$B$6</t>
        </is>
      </c>
      <c r="R3" t="inlineStr">
        <is>
          <t>1E40AF</t>
        </is>
      </c>
      <c r="S3" t="n">
        <v>2</v>
      </c>
    </row>
    <row r="4">
      <c r="A4" t="inlineStr">
        <is>
          <t>curva_compactacion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Máxima Densidad Seca</t>
        </is>
      </c>
      <c r="O4" t="inlineStr">
        <is>
          <t>marcador</t>
        </is>
      </c>
      <c r="P4" t="inlineStr">
        <is>
          <t>'_DATOS'!$K$3:$K$3</t>
        </is>
      </c>
      <c r="Q4" t="inlineStr">
        <is>
          <t>'_DATOS'!$L$3:$L$3</t>
        </is>
      </c>
      <c r="R4" t="inlineStr">
        <is>
          <t>059669</t>
        </is>
      </c>
      <c r="S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datos.general_fields.codigo_molde</t>
        </is>
      </c>
      <c r="B17" t="inlineStr">
        <is>
          <t>C17</t>
        </is>
      </c>
      <c r="C17" t="inlineStr">
        <is>
          <t>texto</t>
        </is>
      </c>
    </row>
    <row r="18">
      <c r="A18" t="inlineStr">
        <is>
          <t>datos.general_fields.diametro_cm</t>
        </is>
      </c>
      <c r="B18" t="inlineStr">
        <is>
          <t>E17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datos.general_fields.altura_cm</t>
        </is>
      </c>
      <c r="B19" t="inlineStr">
        <is>
          <t>G17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datos.general_fields.golpes_por_capa</t>
        </is>
      </c>
      <c r="B20" t="inlineStr">
        <is>
          <t>C18</t>
        </is>
      </c>
      <c r="C20" t="inlineStr">
        <is>
          <t>numero</t>
        </is>
      </c>
      <c r="D20" t="inlineStr">
        <is>
          <t>0</t>
        </is>
      </c>
    </row>
    <row r="21">
      <c r="A21" t="inlineStr">
        <is>
          <t>datos.general_fields.numero_capas</t>
        </is>
      </c>
      <c r="B21" t="inlineStr">
        <is>
          <t>E18</t>
        </is>
      </c>
      <c r="C21" t="inlineStr">
        <is>
          <t>numero</t>
        </is>
      </c>
      <c r="D21" t="inlineStr">
        <is>
          <t>0</t>
        </is>
      </c>
    </row>
    <row r="22">
      <c r="A22" t="inlineStr">
        <is>
          <t>datos.general_fields.masa_martillo_lb</t>
        </is>
      </c>
      <c r="B22" t="inlineStr">
        <is>
          <t>G18</t>
        </is>
      </c>
      <c r="C22" t="inlineStr">
        <is>
          <t>numero</t>
        </is>
      </c>
      <c r="D22" t="inlineStr">
        <is>
          <t>0</t>
        </is>
      </c>
    </row>
    <row r="23">
      <c r="A23" t="inlineStr">
        <is>
          <t>datos.tables.datos_ensayo.m1.masa_molde</t>
        </is>
      </c>
      <c r="B23" t="inlineStr">
        <is>
          <t>B22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datos.tables.datos_ensayo.m1.masa_suelo_humedo_molde</t>
        </is>
      </c>
      <c r="B24" t="inlineStr">
        <is>
          <t>B23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datos.tables.datos_ensayo.m1.agua_incrementada</t>
        </is>
      </c>
      <c r="B25" t="inlineStr">
        <is>
          <t>B24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datos.tables.datos_ensayo.m2.masa_molde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datos.tables.datos_ensayo.m2.masa_suelo_humedo_molde</t>
        </is>
      </c>
      <c r="B27" t="inlineStr">
        <is>
          <t>C23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datos.tables.datos_ensayo.m2.agua_incrementada</t>
        </is>
      </c>
      <c r="B28" t="inlineStr">
        <is>
          <t>C24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datos.tables.datos_ensayo.m3.masa_molde</t>
        </is>
      </c>
      <c r="B29" t="inlineStr">
        <is>
          <t>D22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datos.tables.datos_ensayo.m3.masa_suelo_humedo_molde</t>
        </is>
      </c>
      <c r="B30" t="inlineStr">
        <is>
          <t>D23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datos.tables.datos_ensayo.m3.agua_incrementada</t>
        </is>
      </c>
      <c r="B31" t="inlineStr">
        <is>
          <t>D24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datos.tables.datos_ensayo.m4.masa_molde</t>
        </is>
      </c>
      <c r="B32" t="inlineStr">
        <is>
          <t>E22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datos.tables.datos_ensayo.m4.masa_suelo_humedo_molde</t>
        </is>
      </c>
      <c r="B33" t="inlineStr">
        <is>
          <t>E23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datos.tables.datos_ensayo.m4.agua_incrementada</t>
        </is>
      </c>
      <c r="B34" t="inlineStr">
        <is>
          <t>E24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datos.tables.calculo_humedad.m1.capsula_nro</t>
        </is>
      </c>
      <c r="B35" t="inlineStr">
        <is>
          <t>B32</t>
        </is>
      </c>
      <c r="C35" t="inlineStr">
        <is>
          <t>texto</t>
        </is>
      </c>
    </row>
    <row r="36">
      <c r="A36" t="inlineStr">
        <is>
          <t>datos.tables.calculo_humedad.m1.masa_capsula</t>
        </is>
      </c>
      <c r="B36" t="inlineStr">
        <is>
          <t>B33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datos.tables.calculo_humedad.m1.masa_capsula_suelo_humedo</t>
        </is>
      </c>
      <c r="B37" t="inlineStr">
        <is>
          <t>B34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datos.tables.calculo_humedad.m1.masa_capsula_suelo_seco</t>
        </is>
      </c>
      <c r="B38" t="inlineStr">
        <is>
          <t>B35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datos.tables.calculo_humedad.m2.capsula_nro</t>
        </is>
      </c>
      <c r="B39" t="inlineStr">
        <is>
          <t>C32</t>
        </is>
      </c>
      <c r="C39" t="inlineStr">
        <is>
          <t>texto</t>
        </is>
      </c>
    </row>
    <row r="40">
      <c r="A40" t="inlineStr">
        <is>
          <t>datos.tables.calculo_humedad.m2.masa_capsula</t>
        </is>
      </c>
      <c r="B40" t="inlineStr">
        <is>
          <t>C33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datos.tables.calculo_humedad.m2.masa_capsula_suelo_humedo</t>
        </is>
      </c>
      <c r="B41" t="inlineStr">
        <is>
          <t>C34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datos.tables.calculo_humedad.m2.masa_capsula_suelo_seco</t>
        </is>
      </c>
      <c r="B42" t="inlineStr">
        <is>
          <t>C35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datos.tables.calculo_humedad.m3.capsula_nro</t>
        </is>
      </c>
      <c r="B43" t="inlineStr">
        <is>
          <t>D32</t>
        </is>
      </c>
      <c r="C43" t="inlineStr">
        <is>
          <t>texto</t>
        </is>
      </c>
    </row>
    <row r="44">
      <c r="A44" t="inlineStr">
        <is>
          <t>datos.tables.calculo_humedad.m3.masa_capsula</t>
        </is>
      </c>
      <c r="B44" t="inlineStr">
        <is>
          <t>D33</t>
        </is>
      </c>
      <c r="C44" t="inlineStr">
        <is>
          <t>numero</t>
        </is>
      </c>
      <c r="D44" t="inlineStr">
        <is>
          <t>0.00</t>
        </is>
      </c>
    </row>
    <row r="45">
      <c r="A45" t="inlineStr">
        <is>
          <t>datos.tables.calculo_humedad.m3.masa_capsula_suelo_humedo</t>
        </is>
      </c>
      <c r="B45" t="inlineStr">
        <is>
          <t>D34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datos.tables.calculo_humedad.m3.masa_capsula_suelo_seco</t>
        </is>
      </c>
      <c r="B46" t="inlineStr">
        <is>
          <t>D35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datos.tables.calculo_humedad.m4.capsula_nro</t>
        </is>
      </c>
      <c r="B47" t="inlineStr">
        <is>
          <t>E32</t>
        </is>
      </c>
      <c r="C47" t="inlineStr">
        <is>
          <t>texto</t>
        </is>
      </c>
    </row>
    <row r="48">
      <c r="A48" t="inlineStr">
        <is>
          <t>datos.tables.calculo_humedad.m4.masa_capsula</t>
        </is>
      </c>
      <c r="B48" t="inlineStr">
        <is>
          <t>E33</t>
        </is>
      </c>
      <c r="C48" t="inlineStr">
        <is>
          <t>numero</t>
        </is>
      </c>
      <c r="D48" t="inlineStr">
        <is>
          <t>0.00</t>
        </is>
      </c>
    </row>
    <row r="49">
      <c r="A49" t="inlineStr">
        <is>
          <t>datos.tables.calculo_humedad.m4.masa_capsula_suelo_humedo</t>
        </is>
      </c>
      <c r="B49" t="inlineStr">
        <is>
          <t>E34</t>
        </is>
      </c>
      <c r="C49" t="inlineStr">
        <is>
          <t>numero</t>
        </is>
      </c>
      <c r="D49" t="inlineStr">
        <is>
          <t>0.00</t>
        </is>
      </c>
    </row>
    <row r="50">
      <c r="A50" t="inlineStr">
        <is>
          <t>datos.tables.calculo_humedad.m4.masa_capsula_suelo_seco</t>
        </is>
      </c>
      <c r="B50" t="inlineStr">
        <is>
          <t>E35</t>
        </is>
      </c>
      <c r="C50" t="inlineStr">
        <is>
          <t>numero</t>
        </is>
      </c>
      <c r="D50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2026-09-04T16:25:09Z</dcterms:created>
  <dcterms:modified xmlns:dcterms="http://purl.org/dc/terms/" xmlns:xsi="http://www.w3.org/2001/XMLSchema-instance" xsi:type="dcterms:W3CDTF">2026-09-04T16:25:09Z</dcterms:modified>
</cp:coreProperties>
</file>