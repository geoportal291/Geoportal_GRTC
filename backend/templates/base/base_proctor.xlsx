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" sheetId="1" state="visible" r:id="rId1"/>
    <sheet name="_DATOS" sheetId="2" state="hidden" r:id="rId2"/>
    <sheet name="_GRAFICOS" sheetId="3" state="hidden" r:id="rId3"/>
    <sheet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4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9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166" fontId="1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w="2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E40AF"/>
              </a:solidFill>
              <a:ln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>
              <a:noFill/>
              <a:prstDash val="solid"/>
            </a:ln>
          </spPr>
          <marker>
            <symbol val="circle"/>
            <size val="10"/>
            <spPr>
              <a:solidFill>
                <a:srgbClr val="059669"/>
              </a:solidFill>
              <a:ln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Relationship Type="http://schemas.openxmlformats.org/officeDocument/2006/relationships/image" Target="/xl/media/image2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15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5" customHeight="1">
      <c r="C3" s="3" t="inlineStr">
        <is>
          <t>SUB GERENCIA DE COBERTURA Y COMUNICACIONES</t>
        </is>
      </c>
    </row>
    <row r="4" ht="15" customHeight="1">
      <c r="C4" s="3" t="inlineStr">
        <is>
          <t>UNIDAD FUNCIONAL ESTUDIOS Y PROYECTOS</t>
        </is>
      </c>
    </row>
    <row r="5" ht="15" customHeight="1">
      <c r="C5" s="2" t="inlineStr">
        <is>
          <t>Laboratorio de Mecánica de Suelos, Materiales y Pavimentos</t>
        </is>
      </c>
    </row>
    <row r="6" ht="15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COMPACTACIÓN PROCTOR MODIFICADO - MTC E 115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8" t="inlineStr">
        <is>
          <t>EQUIPO / MOLDE</t>
        </is>
      </c>
      <c r="B17" s="8" t="inlineStr">
        <is>
          <t>Código:</t>
        </is>
      </c>
      <c r="C17" s="10" t="n"/>
      <c r="D17" s="8" t="inlineStr">
        <is>
          <t>Diám. (cm):</t>
        </is>
      </c>
      <c r="E17" s="10" t="n"/>
      <c r="F17" s="8" t="inlineStr">
        <is>
          <t>Altura (cm):</t>
        </is>
      </c>
      <c r="G17" s="10" t="n"/>
      <c r="H17" s="8" t="inlineStr">
        <is>
          <t>Vol. (cm³):</t>
        </is>
      </c>
      <c r="I17" s="18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0" t="n"/>
      <c r="D18" s="8" t="inlineStr">
        <is>
          <t>N° capas:</t>
        </is>
      </c>
      <c r="E18" s="10" t="n"/>
      <c r="F18" s="8" t="inlineStr">
        <is>
          <t>Martillo (lb):</t>
        </is>
      </c>
      <c r="G18" s="10" t="n"/>
    </row>
    <row r="19" ht="6" customHeight="1"/>
    <row r="20">
      <c r="A20" s="16" t="inlineStr">
        <is>
          <t>DATOS DE ENSAYO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 ht="16" customHeight="1">
      <c r="A21" s="6" t="inlineStr">
        <is>
          <t>Parámetro</t>
        </is>
      </c>
      <c r="B21" s="6" t="inlineStr">
        <is>
          <t>M1</t>
        </is>
      </c>
      <c r="C21" s="6" t="inlineStr">
        <is>
          <t>M2</t>
        </is>
      </c>
      <c r="D21" s="6" t="inlineStr">
        <is>
          <t>M3</t>
        </is>
      </c>
      <c r="E21" s="6" t="inlineStr">
        <is>
          <t>M4</t>
        </is>
      </c>
    </row>
    <row r="22">
      <c r="A22" s="19" t="inlineStr">
        <is>
          <t>Masa del molde (g)</t>
        </is>
      </c>
      <c r="B22" s="20" t="n"/>
      <c r="C22" s="20" t="n"/>
      <c r="D22" s="20" t="n"/>
      <c r="E22" s="20" t="n"/>
    </row>
    <row r="23">
      <c r="A23" s="19" t="inlineStr">
        <is>
          <t>Masa molde + suelo húmedo (g)</t>
        </is>
      </c>
      <c r="B23" s="20" t="n"/>
      <c r="C23" s="20" t="n"/>
      <c r="D23" s="20" t="n"/>
      <c r="E23" s="20" t="n"/>
    </row>
    <row r="24">
      <c r="A24" s="19" t="inlineStr">
        <is>
          <t>Agua incrementada (g)</t>
        </is>
      </c>
      <c r="B24" s="20" t="n"/>
      <c r="C24" s="20" t="n"/>
      <c r="D24" s="20" t="n"/>
      <c r="E24" s="20" t="n"/>
    </row>
    <row r="25">
      <c r="A25" s="19" t="inlineStr">
        <is>
          <t>Masa del suelo húmedo (g)</t>
        </is>
      </c>
      <c r="B25" s="21">
        <f>IF(COUNT(B22:B23)=2,B23-B22,"")</f>
        <v/>
      </c>
      <c r="C25" s="21">
        <f>IF(COUNT(C22:C23)=2,C23-C22,"")</f>
        <v/>
      </c>
      <c r="D25" s="21">
        <f>IF(COUNT(D22:D23)=2,D23-D22,"")</f>
        <v/>
      </c>
      <c r="E25" s="21">
        <f>IF(COUNT(E22:E23)=2,E23-E22,"")</f>
        <v/>
      </c>
    </row>
    <row r="26">
      <c r="A26" s="19" t="inlineStr">
        <is>
          <t>Volumen del molde (cm³)</t>
        </is>
      </c>
      <c r="B26" s="21">
        <f>IF(N($I$17)&gt;0,$I$17,2124)</f>
        <v/>
      </c>
      <c r="C26" s="21">
        <f>IF(N($I$17)&gt;0,$I$17,2124)</f>
        <v/>
      </c>
      <c r="D26" s="21">
        <f>IF(N($I$17)&gt;0,$I$17,2124)</f>
        <v/>
      </c>
      <c r="E26" s="21">
        <f>IF(N($I$17)&gt;0,$I$17,2124)</f>
        <v/>
      </c>
    </row>
    <row r="27">
      <c r="A27" s="19" t="inlineStr">
        <is>
          <t>Densidad húmeda (g/cm³)</t>
        </is>
      </c>
      <c r="B27" s="22">
        <f>IF(AND(ISNUMBER(B25),N(B26)&gt;0),IFERROR(B25/B26,0),"")</f>
        <v/>
      </c>
      <c r="C27" s="22">
        <f>IF(AND(ISNUMBER(C25),N(C26)&gt;0),IFERROR(C25/C26,0),"")</f>
        <v/>
      </c>
      <c r="D27" s="22">
        <f>IF(AND(ISNUMBER(D25),N(D26)&gt;0),IFERROR(D25/D26,0),"")</f>
        <v/>
      </c>
      <c r="E27" s="22">
        <f>IF(AND(ISNUMBER(E25),N(E26)&gt;0),IFERROR(E25/E26,0),"")</f>
        <v/>
      </c>
    </row>
    <row r="28" ht="6" customHeight="1"/>
    <row r="30">
      <c r="A30" s="16" t="inlineStr">
        <is>
          <t>CÁLCULO DE LA HUMEDAD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</row>
    <row r="31" ht="16" customHeight="1">
      <c r="A31" s="6" t="inlineStr">
        <is>
          <t>Parámetro</t>
        </is>
      </c>
      <c r="B31" s="6" t="inlineStr">
        <is>
          <t>M1</t>
        </is>
      </c>
      <c r="C31" s="6" t="inlineStr">
        <is>
          <t>M2</t>
        </is>
      </c>
      <c r="D31" s="6" t="inlineStr">
        <is>
          <t>M3</t>
        </is>
      </c>
      <c r="E31" s="6" t="inlineStr">
        <is>
          <t>M4</t>
        </is>
      </c>
    </row>
    <row r="32">
      <c r="A32" s="19" t="inlineStr">
        <is>
          <t>Cápsula N°</t>
        </is>
      </c>
      <c r="B32" s="19" t="n"/>
      <c r="C32" s="19" t="n"/>
      <c r="D32" s="19" t="n"/>
      <c r="E32" s="19" t="n"/>
    </row>
    <row r="33">
      <c r="A33" s="19" t="inlineStr">
        <is>
          <t>Masa de cápsula (g)</t>
        </is>
      </c>
      <c r="B33" s="20" t="n"/>
      <c r="C33" s="20" t="n"/>
      <c r="D33" s="20" t="n"/>
      <c r="E33" s="20" t="n"/>
    </row>
    <row r="34">
      <c r="A34" s="19" t="inlineStr">
        <is>
          <t>Masa cápsula + suelo húmedo (g)</t>
        </is>
      </c>
      <c r="B34" s="20" t="n"/>
      <c r="C34" s="20" t="n"/>
      <c r="D34" s="20" t="n"/>
      <c r="E34" s="20" t="n"/>
    </row>
    <row r="35">
      <c r="A35" s="19" t="inlineStr">
        <is>
          <t>Masa cápsula + suelo seco (g)</t>
        </is>
      </c>
      <c r="B35" s="20" t="n"/>
      <c r="C35" s="20" t="n"/>
      <c r="D35" s="20" t="n"/>
      <c r="E35" s="20" t="n"/>
    </row>
    <row r="36">
      <c r="A36" s="19" t="inlineStr">
        <is>
          <t>Masa de agua (g)</t>
        </is>
      </c>
      <c r="B36" s="21">
        <f>IF(COUNT(B34:B35)=2,B34-B35,"")</f>
        <v/>
      </c>
      <c r="C36" s="21">
        <f>IF(COUNT(C34:C35)=2,C34-C35,"")</f>
        <v/>
      </c>
      <c r="D36" s="21">
        <f>IF(COUNT(D34:D35)=2,D34-D35,"")</f>
        <v/>
      </c>
      <c r="E36" s="21">
        <f>IF(COUNT(E34:E35)=2,E34-E35,"")</f>
        <v/>
      </c>
    </row>
    <row r="37">
      <c r="A37" s="19" t="inlineStr">
        <is>
          <t>Masa de suelo seco (g)</t>
        </is>
      </c>
      <c r="B37" s="21">
        <f>IF(COUNT(B33,B35)=2,B35-B33,"")</f>
        <v/>
      </c>
      <c r="C37" s="21">
        <f>IF(COUNT(C33,C35)=2,C35-C33,"")</f>
        <v/>
      </c>
      <c r="D37" s="21">
        <f>IF(COUNT(D33,D35)=2,D35-D33,"")</f>
        <v/>
      </c>
      <c r="E37" s="21">
        <f>IF(COUNT(E33,E35)=2,E35-E33,"")</f>
        <v/>
      </c>
    </row>
    <row r="38">
      <c r="A38" s="19" t="inlineStr">
        <is>
          <t>Contenido de humedad (%)</t>
        </is>
      </c>
      <c r="B38" s="21">
        <f>IF(AND(ISNUMBER(B37),N(B37)&gt;0),IFERROR(B36/B37*100,0),"")</f>
        <v/>
      </c>
      <c r="C38" s="21">
        <f>IF(AND(ISNUMBER(C37),N(C37)&gt;0),IFERROR(C36/C37*100,0),"")</f>
        <v/>
      </c>
      <c r="D38" s="21">
        <f>IF(AND(ISNUMBER(D37),N(D37)&gt;0),IFERROR(D36/D37*100,0),"")</f>
        <v/>
      </c>
      <c r="E38" s="21">
        <f>IF(AND(ISNUMBER(E37),N(E37)&gt;0),IFERROR(E36/E37*100,0),"")</f>
        <v/>
      </c>
    </row>
    <row r="39">
      <c r="A39" s="19" t="inlineStr">
        <is>
          <t>Densidad seca (g/cm³)</t>
        </is>
      </c>
      <c r="B39" s="22">
        <f>IF(AND(ISNUMBER(B38),ISNUMBER(B27)),IFERROR(B27/(1+B38/100),0),"")</f>
        <v/>
      </c>
      <c r="C39" s="22">
        <f>IF(AND(ISNUMBER(C38),ISNUMBER(C27)),IFERROR(C27/(1+C38/100),0),"")</f>
        <v/>
      </c>
      <c r="D39" s="22">
        <f>IF(AND(ISNUMBER(D38),ISNUMBER(D27)),IFERROR(D27/(1+D38/100),0),"")</f>
        <v/>
      </c>
      <c r="E39" s="22">
        <f>IF(AND(ISNUMBER(E38),ISNUMBER(E27)),IFERROR(E27/(1+E38/100),0),"")</f>
        <v/>
      </c>
    </row>
    <row r="41">
      <c r="A41" s="8" t="inlineStr">
        <is>
          <t>MÁXIMA DENSIDAD SECA (g/cm³)</t>
        </is>
      </c>
      <c r="B41" s="23">
        <f>IF(ISNUMBER(_DATOS!$F$5),_DATOS!$F$5,"")</f>
        <v/>
      </c>
      <c r="C41" s="9" t="n"/>
      <c r="D41" s="9" t="n"/>
      <c r="E41" s="9" t="n"/>
    </row>
    <row r="42">
      <c r="A42" s="8" t="inlineStr">
        <is>
          <t>HUMEDAD ÓPTIMA (%)</t>
        </is>
      </c>
      <c r="B42" s="24">
        <f>IF(ISNUMBER(_DATOS!$F$4),_DATOS!$F$4,"")</f>
        <v/>
      </c>
      <c r="C42" s="9" t="n"/>
      <c r="D42" s="9" t="n"/>
      <c r="E42" s="9" t="n"/>
    </row>
    <row r="43" ht="6" customHeight="1"/>
    <row r="45">
      <c r="A45" s="16" t="inlineStr">
        <is>
          <t>CURVA DE COMPACTACIÓN</t>
        </is>
      </c>
      <c r="B45" s="17" t="n"/>
      <c r="C45" s="17" t="n"/>
      <c r="D45" s="17" t="n"/>
      <c r="E45" s="17" t="n"/>
      <c r="F45" s="17" t="n"/>
      <c r="G45" s="17" t="n"/>
      <c r="H45" s="17" t="n"/>
      <c r="I45" s="17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</row>
    <row r="77">
      <c r="A77" s="26" t="inlineStr">
        <is>
          <t>ESP. ENSAYOS GEOTECNICOS</t>
        </is>
      </c>
      <c r="D77" s="26" t="inlineStr">
        <is>
          <t>ESP. SUELOS Y PAVIMENTOS</t>
        </is>
      </c>
      <c r="G77" s="26" t="inlineStr">
        <is>
          <t>SUPERVISOR</t>
        </is>
      </c>
    </row>
  </sheetData>
  <mergeCells count="23">
    <mergeCell ref="A8"/>
    <mergeCell ref="E12:F12"/>
    <mergeCell ref="B41:E41"/>
    <mergeCell ref="C3:F3"/>
    <mergeCell ref="C6:F6"/>
    <mergeCell ref="C5:F5"/>
    <mergeCell ref="B8:I8"/>
    <mergeCell ref="A20:I20"/>
    <mergeCell ref="C4:F4"/>
    <mergeCell ref="B10:I10"/>
    <mergeCell ref="C1:F1"/>
    <mergeCell ref="G12:I12"/>
    <mergeCell ref="F13:G13"/>
    <mergeCell ref="A77:C77"/>
    <mergeCell ref="B42:E42"/>
    <mergeCell ref="A30:I30"/>
    <mergeCell ref="G77:I77"/>
    <mergeCell ref="A45:I45"/>
    <mergeCell ref="C13:D13"/>
    <mergeCell ref="B12:D12"/>
    <mergeCell ref="C2:F2"/>
    <mergeCell ref="D77:F77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IF(OR(NOT(ISNUMBER(Reporte!C38)),NOT(ISNUMBER(Reporte!C39)),Reporte!C39=0),NA(),Reporte!C38)</f>
        <v/>
      </c>
      <c r="B4">
        <f>IF(ISNA(A4),NA(),Reporte!C39)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IF(OR(NOT(ISNUMBER(Reporte!D38)),NOT(ISNUMBER(Reporte!D39)),Reporte!D39=0),NA(),Reporte!D38)</f>
        <v/>
      </c>
      <c r="B5">
        <f>IF(ISNA(A5),NA(),Reporte!D39)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IF(OR(NOT(ISNUMBER(Reporte!E38)),NOT(ISNUMBER(Reporte!E39)),Reporte!E39=0),NA(),Reporte!E38)</f>
        <v/>
      </c>
      <c r="B6">
        <f>IF(ISNA(A6),NA(),Reporte!E39)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C23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C24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D22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D23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D24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E22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E23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E24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C32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C33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C34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C35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D32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D33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D34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D35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E32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E33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E34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E35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2026-09-03T16:57:25Z</dcterms:created>
  <dcterms:modified xsi:type="dcterms:W3CDTF">2026-09-03T16:57:25Z</dcterms:modified>
</cp:coreProperties>
</file>