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_DATOS" sheetId="2" state="hidden" r:id="rId2"/>
    <sheet xmlns:r="http://schemas.openxmlformats.org/officeDocument/2006/relationships" name="_GRAFICOS" sheetId="3" state="hidden" r:id="rId3"/>
    <sheet xmlns:r="http://schemas.openxmlformats.org/officeDocument/2006/relationships" name="_MAPA" sheetId="4" state="hidden" r:id="rId4"/>
  </sheets>
  <definedNames>
    <definedName name="CurvaX">'_DATOS'!$A$3:$A$6</definedName>
    <definedName name="CurvaY">'_DATOS'!$B$3:$B$6</definedName>
    <definedName name="AjusteX">'_DATOS'!$H$3:$H$203</definedName>
    <definedName name="AjusteY">'_DATOS'!$I$3:$I$203</definedName>
    <definedName name="MDSX">'_DATOS'!$K$3</definedName>
    <definedName name="MDSY">'_DATOS'!$L$3</definedName>
    <definedName name="_xlnm.Print_Area" localSheetId="0">'Reporte'!$A$1:$I$78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&quot; g/cm³&quot;"/>
    <numFmt numFmtId="166" formatCode="0.00&quot; %&quot;"/>
  </numFmts>
  <fonts count="15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color rgb="001F2937"/>
      <sz val="9"/>
    </font>
    <font>
      <name val="Calibri"/>
      <color rgb="001F2937"/>
      <sz val="8"/>
    </font>
    <font>
      <name val="Calibri"/>
      <i val="1"/>
      <color rgb="00374151"/>
      <sz val="7.5"/>
    </font>
    <font>
      <name val="Calibri"/>
      <b val="1"/>
      <color rgb="00FFFFFF"/>
      <sz val="10"/>
    </font>
    <font>
      <name val="Calibri"/>
      <color rgb="00111827"/>
      <sz val="9"/>
    </font>
    <font>
      <name val="Calibri"/>
      <b val="1"/>
      <color rgb="00FFFFFF"/>
      <sz val="11"/>
    </font>
    <font>
      <name val="Calibri"/>
      <b val="1"/>
      <color rgb="00475569"/>
      <sz val="8"/>
    </font>
    <font>
      <name val="Calibri"/>
      <b val="1"/>
      <color rgb="00111827"/>
      <sz val="10"/>
    </font>
    <font>
      <name val="Calibri"/>
      <b val="1"/>
      <sz val="9"/>
    </font>
    <font>
      <name val="Calibri"/>
      <color rgb="001D4ED8"/>
      <sz val="9"/>
    </font>
    <font>
      <name val="Calibri"/>
      <b val="1"/>
      <color rgb="00FFFFFF"/>
      <sz val="9"/>
    </font>
    <font>
      <name val="Calibri"/>
      <b val="1"/>
      <color rgb="00111827"/>
      <sz val="11"/>
    </font>
    <font>
      <name val="Calibri"/>
      <b val="1"/>
      <color rgb="00334155"/>
      <sz val="8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334155"/>
      </patternFill>
    </fill>
    <fill>
      <patternFill patternType="solid">
        <fgColor rgb="00EEF2F7"/>
      </patternFill>
    </fill>
  </fills>
  <borders count="7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0F172A"/>
      </top>
      <bottom/>
      <diagonal/>
    </border>
    <border>
      <left/>
      <right style="thin">
        <color rgb="000F172A"/>
      </right>
      <top style="thin">
        <color rgb="000F172A"/>
      </top>
      <bottom/>
      <diagonal/>
    </border>
    <border>
      <left/>
      <right/>
      <top style="thin">
        <color rgb="000F172A"/>
      </top>
      <bottom style="thin">
        <color rgb="000F172A"/>
      </bottom>
      <diagonal/>
    </border>
    <border>
      <left/>
      <right style="thin">
        <color rgb="000F172A"/>
      </right>
      <top style="thin">
        <color rgb="000F172A"/>
      </top>
      <bottom style="thin">
        <color rgb="000F172A"/>
      </bottom>
      <diagonal/>
    </border>
    <border>
      <top style="thin">
        <color rgb="000F172A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11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165" fontId="13" fillId="4" borderId="1" applyAlignment="1" pivotButton="0" quotePrefix="0" xfId="0">
      <alignment horizontal="center" vertical="center" wrapText="1"/>
    </xf>
    <xf numFmtId="166" fontId="13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Compactación — Densidad Seca (g/cm³) vs Humedad (%)</a:t>
            </a:r>
          </a:p>
        </rich>
      </tx>
    </title>
    <plotArea>
      <scatterChart>
        <varyColors val="0"/>
        <ser>
          <idx val="0"/>
          <order val="0"/>
          <tx>
            <v>Ajuste MTC (Cúbico)</v>
          </tx>
          <spPr>
            <a:ln xmlns:a="http://schemas.openxmlformats.org/drawingml/2006/main" w="24000">
              <a:solidFill>
                <a:srgbClr val="DC262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'_DATOS'!$H$3:$H$203</f>
            </numRef>
          </xVal>
          <yVal>
            <numRef>
              <f>'_DATOS'!$I$3:$I$203</f>
            </numRef>
          </yVal>
          <smooth val="1"/>
        </ser>
        <ser>
          <idx val="1"/>
          <order val="1"/>
          <tx>
            <v>Puntos de Ensayo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solidFill>
                  <a:srgbClr val="1E40AF"/>
                </a:solidFill>
                <a:prstDash val="solid"/>
              </a:ln>
            </spPr>
          </marker>
          <xVal>
            <numRef>
              <f>'_DATOS'!$A$3:$A$6</f>
            </numRef>
          </xVal>
          <yVal>
            <numRef>
              <f>'_DATOS'!$B$3:$B$6</f>
            </numRef>
          </yVal>
          <smooth val="0"/>
        </ser>
        <ser>
          <idx val="2"/>
          <order val="2"/>
          <tx>
            <v>Máxima Densidad Seca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solidFill>
                  <a:srgbClr val="059669"/>
                </a:solidFill>
                <a:prstDash val="solid"/>
              </a:ln>
            </spPr>
          </marker>
          <xVal>
            <numRef>
              <f>'_DATOS'!$K$3</f>
            </numRef>
          </xVal>
          <yVal>
            <numRef>
              <f>'_DATOS'!$L$3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45</row>
      <rowOff>0</rowOff>
    </from>
    <ext cx="5903999" cy="45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23825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04775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0" customHeight="1">
      <c r="C1" s="1" t="inlineStr">
        <is>
          <t>GOBIERNO REGIONAL CUSCO</t>
        </is>
      </c>
    </row>
    <row r="2" ht="15" customHeight="1">
      <c r="C2" s="2" t="inlineStr">
        <is>
          <t>Gerencia Regional de Transportes y Comunicaciones Cusco</t>
        </is>
      </c>
    </row>
    <row r="3" ht="12" customHeight="1">
      <c r="C3" s="3" t="inlineStr">
        <is>
          <t>SUB GERENCIA DE COBERTURA Y COMUNICACIONES</t>
        </is>
      </c>
    </row>
    <row r="4" ht="12" customHeight="1">
      <c r="C4" s="3" t="inlineStr">
        <is>
          <t>UNIDAD FUNCIONAL ESTUDIOS Y PROYECTOS</t>
        </is>
      </c>
    </row>
    <row r="5" ht="14" customHeight="1">
      <c r="C5" s="2" t="inlineStr">
        <is>
          <t>Laboratorio de Mecánica de Suelos, Materiales y Pavimentos</t>
        </is>
      </c>
    </row>
    <row r="6" ht="12" customHeight="1">
      <c r="C6" s="4" t="inlineStr">
        <is>
          <t>«Año de la recuperación y consolidación de la economía peruana»</t>
        </is>
      </c>
    </row>
    <row r="7" ht="4" customHeight="1"/>
    <row r="8" ht="20" customHeight="1">
      <c r="A8" s="5" t="inlineStr">
        <is>
          <t>CÓDIGO</t>
        </is>
      </c>
      <c r="B8" s="6" t="n"/>
      <c r="C8" s="7" t="n"/>
      <c r="D8" s="7" t="n"/>
      <c r="E8" s="7" t="n"/>
      <c r="F8" s="7" t="n"/>
      <c r="G8" s="7" t="n"/>
      <c r="H8" s="7" t="n"/>
      <c r="I8" s="7" t="n"/>
    </row>
    <row r="9" ht="6" customHeight="1"/>
    <row r="10" ht="20" customHeight="1">
      <c r="A10" s="8" t="inlineStr">
        <is>
          <t>PROYECTO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8" t="inlineStr">
        <is>
          <t>UBICACIÓN</t>
        </is>
      </c>
      <c r="B11" s="8" t="inlineStr">
        <is>
          <t>Lugar:</t>
        </is>
      </c>
      <c r="C11" s="10" t="n"/>
      <c r="D11" s="8" t="inlineStr">
        <is>
          <t>Distrito:</t>
        </is>
      </c>
      <c r="E11" s="10" t="n"/>
      <c r="F11" s="8" t="inlineStr">
        <is>
          <t>Provincia:</t>
        </is>
      </c>
      <c r="G11" s="10" t="n"/>
      <c r="H11" s="8" t="inlineStr">
        <is>
          <t>Dpto:</t>
        </is>
      </c>
      <c r="I11" s="10" t="n"/>
    </row>
    <row r="12" ht="20" customHeight="1">
      <c r="A12" s="8" t="inlineStr">
        <is>
          <t>SOLICITANTE</t>
        </is>
      </c>
      <c r="B12" s="11" t="n"/>
      <c r="C12" s="12" t="n"/>
      <c r="D12" s="13" t="n"/>
      <c r="E12" s="14" t="inlineStr">
        <is>
          <t>Fecha Muestreo:</t>
        </is>
      </c>
      <c r="F12" s="15" t="n"/>
      <c r="G12" s="16" t="n"/>
    </row>
    <row r="13" ht="20" customHeight="1">
      <c r="A13" s="8" t="inlineStr">
        <is>
          <t>COORDENADAS</t>
        </is>
      </c>
      <c r="B13" s="8" t="inlineStr">
        <is>
          <t>E:</t>
        </is>
      </c>
      <c r="C13" s="10" t="n"/>
      <c r="D13" s="13" t="n"/>
      <c r="E13" s="8" t="inlineStr">
        <is>
          <t>N:</t>
        </is>
      </c>
      <c r="F13" s="10" t="n"/>
      <c r="G13" s="13" t="n"/>
      <c r="H13" s="8" t="inlineStr">
        <is>
          <t>Prof. (m):</t>
        </is>
      </c>
      <c r="I13" s="10" t="n"/>
    </row>
    <row r="14" ht="20" customHeight="1">
      <c r="A14" s="8" t="inlineStr">
        <is>
          <t>DATOS DE MUESTRA</t>
        </is>
      </c>
      <c r="B14" s="8" t="inlineStr">
        <is>
          <t>Explor.:</t>
        </is>
      </c>
      <c r="C14" s="11" t="n"/>
      <c r="D14" s="8" t="inlineStr">
        <is>
          <t>Progresiva:</t>
        </is>
      </c>
      <c r="E14" s="11" t="n"/>
      <c r="F14" s="8" t="inlineStr">
        <is>
          <t>Estrato:</t>
        </is>
      </c>
      <c r="G14" s="11" t="n"/>
      <c r="H14" s="8" t="inlineStr">
        <is>
          <t>Lado:</t>
        </is>
      </c>
      <c r="I14" s="11" t="n"/>
    </row>
    <row r="15" ht="6" customHeight="1"/>
    <row r="16">
      <c r="A16" s="17" t="inlineStr">
        <is>
          <t>COMPACTACIÓN PROCTOR MODIFICADO - MTC E 115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8" t="inlineStr">
        <is>
          <t>EQUIPO / MOLDE</t>
        </is>
      </c>
      <c r="B17" s="8" t="inlineStr">
        <is>
          <t>Código:</t>
        </is>
      </c>
      <c r="C17" s="11" t="n"/>
      <c r="D17" s="8" t="inlineStr">
        <is>
          <t>Diám. (cm):</t>
        </is>
      </c>
      <c r="E17" s="11" t="n"/>
      <c r="F17" s="8" t="inlineStr">
        <is>
          <t>Altura (cm):</t>
        </is>
      </c>
      <c r="G17" s="11" t="n"/>
      <c r="H17" s="8" t="inlineStr">
        <is>
          <t>Vol. (cm³):</t>
        </is>
      </c>
      <c r="I17" s="19">
        <f>IF(AND(N(E17)&gt;0,N(G17)&gt;0),ROUND(PI()*POWER(E17,2)*G17/4,1),"")</f>
        <v/>
      </c>
    </row>
    <row r="18">
      <c r="A18" s="8" t="inlineStr">
        <is>
          <t>COMPACTACIÓN</t>
        </is>
      </c>
      <c r="B18" s="8" t="inlineStr">
        <is>
          <t>Golpes/capa:</t>
        </is>
      </c>
      <c r="C18" s="11" t="n"/>
      <c r="D18" s="8" t="inlineStr">
        <is>
          <t>N° capas:</t>
        </is>
      </c>
      <c r="E18" s="11" t="n"/>
      <c r="F18" s="8" t="inlineStr">
        <is>
          <t>Martillo (lb):</t>
        </is>
      </c>
      <c r="G18" s="11" t="n"/>
      <c r="H18" s="12" t="n"/>
      <c r="I18" s="13" t="n"/>
    </row>
    <row r="19" ht="6" customHeight="1"/>
    <row r="20">
      <c r="A20" s="17" t="inlineStr">
        <is>
          <t>DATOS DE ENSAYO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6" customHeight="1">
      <c r="A21" s="20" t="inlineStr">
        <is>
          <t>Parámetro</t>
        </is>
      </c>
      <c r="B21" s="20" t="inlineStr">
        <is>
          <t>M1</t>
        </is>
      </c>
      <c r="C21" s="7" t="n"/>
      <c r="D21" s="20" t="inlineStr">
        <is>
          <t>M2</t>
        </is>
      </c>
      <c r="E21" s="7" t="n"/>
      <c r="F21" s="20" t="inlineStr">
        <is>
          <t>M3</t>
        </is>
      </c>
      <c r="G21" s="7" t="n"/>
      <c r="H21" s="20" t="inlineStr">
        <is>
          <t>M4</t>
        </is>
      </c>
      <c r="I21" s="7" t="n"/>
    </row>
    <row r="22">
      <c r="A22" s="21" t="inlineStr">
        <is>
          <t>Masa del molde (g)</t>
        </is>
      </c>
      <c r="B22" s="22" t="n"/>
      <c r="C22" s="21" t="n"/>
      <c r="D22" s="22" t="n"/>
      <c r="E22" s="21" t="n"/>
      <c r="F22" s="22" t="n"/>
      <c r="G22" s="21" t="n"/>
      <c r="H22" s="22" t="n"/>
      <c r="I22" s="21" t="n"/>
    </row>
    <row r="23">
      <c r="A23" s="21" t="inlineStr">
        <is>
          <t>Masa molde + suelo húmedo (g)</t>
        </is>
      </c>
      <c r="B23" s="22" t="n"/>
      <c r="C23" s="21" t="n"/>
      <c r="D23" s="22" t="n"/>
      <c r="E23" s="21" t="n"/>
      <c r="F23" s="22" t="n"/>
      <c r="G23" s="21" t="n"/>
      <c r="H23" s="22" t="n"/>
      <c r="I23" s="21" t="n"/>
    </row>
    <row r="24">
      <c r="A24" s="21" t="inlineStr">
        <is>
          <t>Agua incrementada (g)</t>
        </is>
      </c>
      <c r="B24" s="22" t="n"/>
      <c r="C24" s="21" t="n"/>
      <c r="D24" s="22" t="n"/>
      <c r="E24" s="21" t="n"/>
      <c r="F24" s="22" t="n"/>
      <c r="G24" s="21" t="n"/>
      <c r="H24" s="22" t="n"/>
      <c r="I24" s="21" t="n"/>
    </row>
    <row r="25">
      <c r="A25" s="21" t="inlineStr">
        <is>
          <t>Masa del suelo húmedo (g)</t>
        </is>
      </c>
      <c r="B25" s="23">
        <f>IF(COUNT(B22:B23)=2,B23-B22,"")</f>
        <v/>
      </c>
      <c r="C25" s="24" t="n"/>
      <c r="D25" s="23">
        <f>IF(COUNT(D22:D23)=2,D23-D22,"")</f>
        <v/>
      </c>
      <c r="E25" s="24" t="n"/>
      <c r="F25" s="23">
        <f>IF(COUNT(F22:F23)=2,F23-F22,"")</f>
        <v/>
      </c>
      <c r="G25" s="24" t="n"/>
      <c r="H25" s="23">
        <f>IF(COUNT(H22:H23)=2,H23-H22,"")</f>
        <v/>
      </c>
      <c r="I25" s="24" t="n"/>
    </row>
    <row r="26">
      <c r="A26" s="21" t="inlineStr">
        <is>
          <t>Volumen del molde (cm³)</t>
        </is>
      </c>
      <c r="B26" s="23">
        <f>IF(N($I$17)&gt;0,$I$17,2124)</f>
        <v/>
      </c>
      <c r="C26" s="24" t="n"/>
      <c r="D26" s="23">
        <f>IF(N($I$17)&gt;0,$I$17,2124)</f>
        <v/>
      </c>
      <c r="E26" s="24" t="n"/>
      <c r="F26" s="23">
        <f>IF(N($I$17)&gt;0,$I$17,2124)</f>
        <v/>
      </c>
      <c r="G26" s="24" t="n"/>
      <c r="H26" s="23">
        <f>IF(N($I$17)&gt;0,$I$17,2124)</f>
        <v/>
      </c>
      <c r="I26" s="24" t="n"/>
    </row>
    <row r="27">
      <c r="A27" s="21" t="inlineStr">
        <is>
          <t>Densidad húmeda (g/cm³)</t>
        </is>
      </c>
      <c r="B27" s="25">
        <f>IF(AND(ISNUMBER(B25),N(B26)&gt;0),IFERROR(B25/B26,0),"")</f>
        <v/>
      </c>
      <c r="C27" s="24" t="n"/>
      <c r="D27" s="25">
        <f>IF(AND(ISNUMBER(D25),N(D26)&gt;0),IFERROR(D25/D26,0),"")</f>
        <v/>
      </c>
      <c r="E27" s="24" t="n"/>
      <c r="F27" s="25">
        <f>IF(AND(ISNUMBER(F25),N(F26)&gt;0),IFERROR(F25/F26,0),"")</f>
        <v/>
      </c>
      <c r="G27" s="24" t="n"/>
      <c r="H27" s="25">
        <f>IF(AND(ISNUMBER(H25),N(H26)&gt;0),IFERROR(H25/H26,0),"")</f>
        <v/>
      </c>
      <c r="I27" s="24" t="n"/>
    </row>
    <row r="28" ht="6" customHeight="1"/>
    <row r="30">
      <c r="A30" s="17" t="inlineStr">
        <is>
          <t>CÁLCULO DE LA HUMEDAD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6" customHeight="1">
      <c r="A31" s="20" t="inlineStr">
        <is>
          <t>Parámetro</t>
        </is>
      </c>
      <c r="B31" s="20" t="inlineStr">
        <is>
          <t>M1</t>
        </is>
      </c>
      <c r="C31" s="7" t="n"/>
      <c r="D31" s="20" t="inlineStr">
        <is>
          <t>M2</t>
        </is>
      </c>
      <c r="E31" s="7" t="n"/>
      <c r="F31" s="20" t="inlineStr">
        <is>
          <t>M3</t>
        </is>
      </c>
      <c r="G31" s="7" t="n"/>
      <c r="H31" s="20" t="inlineStr">
        <is>
          <t>M4</t>
        </is>
      </c>
      <c r="I31" s="7" t="n"/>
    </row>
    <row r="32">
      <c r="A32" s="21" t="inlineStr">
        <is>
          <t>Cápsula N°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</row>
    <row r="33">
      <c r="A33" s="21" t="inlineStr">
        <is>
          <t>Masa de cápsula (g)</t>
        </is>
      </c>
      <c r="B33" s="22" t="n"/>
      <c r="C33" s="21" t="n"/>
      <c r="D33" s="22" t="n"/>
      <c r="E33" s="21" t="n"/>
      <c r="F33" s="22" t="n"/>
      <c r="G33" s="21" t="n"/>
      <c r="H33" s="22" t="n"/>
      <c r="I33" s="21" t="n"/>
    </row>
    <row r="34">
      <c r="A34" s="21" t="inlineStr">
        <is>
          <t>Masa cápsula + suelo húmedo (g)</t>
        </is>
      </c>
      <c r="B34" s="22" t="n"/>
      <c r="C34" s="21" t="n"/>
      <c r="D34" s="22" t="n"/>
      <c r="E34" s="21" t="n"/>
      <c r="F34" s="22" t="n"/>
      <c r="G34" s="21" t="n"/>
      <c r="H34" s="22" t="n"/>
      <c r="I34" s="21" t="n"/>
    </row>
    <row r="35">
      <c r="A35" s="21" t="inlineStr">
        <is>
          <t>Masa cápsula + suelo seco (g)</t>
        </is>
      </c>
      <c r="B35" s="22" t="n"/>
      <c r="C35" s="21" t="n"/>
      <c r="D35" s="22" t="n"/>
      <c r="E35" s="21" t="n"/>
      <c r="F35" s="22" t="n"/>
      <c r="G35" s="21" t="n"/>
      <c r="H35" s="22" t="n"/>
      <c r="I35" s="21" t="n"/>
    </row>
    <row r="36">
      <c r="A36" s="21" t="inlineStr">
        <is>
          <t>Masa de agua (g)</t>
        </is>
      </c>
      <c r="B36" s="23">
        <f>IF(COUNT(B34:B35)=2,B34-B35,"")</f>
        <v/>
      </c>
      <c r="C36" s="24" t="n"/>
      <c r="D36" s="23">
        <f>IF(COUNT(D34:D35)=2,D34-D35,"")</f>
        <v/>
      </c>
      <c r="E36" s="24" t="n"/>
      <c r="F36" s="23">
        <f>IF(COUNT(F34:F35)=2,F34-F35,"")</f>
        <v/>
      </c>
      <c r="G36" s="24" t="n"/>
      <c r="H36" s="23">
        <f>IF(COUNT(H34:H35)=2,H34-H35,"")</f>
        <v/>
      </c>
      <c r="I36" s="24" t="n"/>
    </row>
    <row r="37">
      <c r="A37" s="21" t="inlineStr">
        <is>
          <t>Masa de suelo seco (g)</t>
        </is>
      </c>
      <c r="B37" s="23">
        <f>IF(COUNT(B33,B35)=2,B35-B33,"")</f>
        <v/>
      </c>
      <c r="C37" s="24" t="n"/>
      <c r="D37" s="23">
        <f>IF(COUNT(D33,D35)=2,D35-D33,"")</f>
        <v/>
      </c>
      <c r="E37" s="24" t="n"/>
      <c r="F37" s="23">
        <f>IF(COUNT(F33,F35)=2,F35-F33,"")</f>
        <v/>
      </c>
      <c r="G37" s="24" t="n"/>
      <c r="H37" s="23">
        <f>IF(COUNT(H33,H35)=2,H35-H33,"")</f>
        <v/>
      </c>
      <c r="I37" s="24" t="n"/>
    </row>
    <row r="38">
      <c r="A38" s="21" t="inlineStr">
        <is>
          <t>Contenido de humedad (%)</t>
        </is>
      </c>
      <c r="B38" s="23">
        <f>IF(AND(ISNUMBER(B37),N(B37)&gt;0),IFERROR(B36/B37*100,0),"")</f>
        <v/>
      </c>
      <c r="C38" s="24" t="n"/>
      <c r="D38" s="23">
        <f>IF(AND(ISNUMBER(D37),N(D37)&gt;0),IFERROR(D36/D37*100,0),"")</f>
        <v/>
      </c>
      <c r="E38" s="24" t="n"/>
      <c r="F38" s="23">
        <f>IF(AND(ISNUMBER(F37),N(F37)&gt;0),IFERROR(F36/F37*100,0),"")</f>
        <v/>
      </c>
      <c r="G38" s="24" t="n"/>
      <c r="H38" s="23">
        <f>IF(AND(ISNUMBER(H37),N(H37)&gt;0),IFERROR(H36/H37*100,0),"")</f>
        <v/>
      </c>
      <c r="I38" s="24" t="n"/>
    </row>
    <row r="39">
      <c r="A39" s="21" t="inlineStr">
        <is>
          <t>Densidad seca (g/cm³)</t>
        </is>
      </c>
      <c r="B39" s="25">
        <f>IF(AND(ISNUMBER(B38),ISNUMBER(B27)),IFERROR(B27/(1+B38/100),0),"")</f>
        <v/>
      </c>
      <c r="C39" s="24" t="n"/>
      <c r="D39" s="25">
        <f>IF(AND(ISNUMBER(D38),ISNUMBER(D27)),IFERROR(D27/(1+D38/100),0),"")</f>
        <v/>
      </c>
      <c r="E39" s="24" t="n"/>
      <c r="F39" s="25">
        <f>IF(AND(ISNUMBER(F38),ISNUMBER(F27)),IFERROR(F27/(1+F38/100),0),"")</f>
        <v/>
      </c>
      <c r="G39" s="24" t="n"/>
      <c r="H39" s="25">
        <f>IF(AND(ISNUMBER(H38),ISNUMBER(H27)),IFERROR(H27/(1+H38/100),0),"")</f>
        <v/>
      </c>
      <c r="I39" s="24" t="n"/>
    </row>
    <row r="41">
      <c r="A41" s="8" t="inlineStr">
        <is>
          <t>MÁXIMA DENSIDAD SECA (g/cm³)</t>
        </is>
      </c>
      <c r="B41" s="26">
        <f>IF(ISNUMBER(_DATOS!$F$5),_DATOS!$F$5,"")</f>
        <v/>
      </c>
      <c r="C41" s="9" t="n"/>
      <c r="D41" s="9" t="n"/>
      <c r="E41" s="9" t="n"/>
      <c r="F41" s="9" t="n"/>
      <c r="G41" s="9" t="n"/>
      <c r="H41" s="9" t="n"/>
      <c r="I41" s="9" t="n"/>
    </row>
    <row r="42">
      <c r="A42" s="8" t="inlineStr">
        <is>
          <t>HUMEDAD ÓPTIMA (%)</t>
        </is>
      </c>
      <c r="B42" s="27">
        <f>IF(ISNUMBER(_DATOS!$F$4),_DATOS!$F$4,"")</f>
        <v/>
      </c>
      <c r="C42" s="9" t="n"/>
      <c r="D42" s="9" t="n"/>
      <c r="E42" s="9" t="n"/>
      <c r="F42" s="9" t="n"/>
      <c r="G42" s="9" t="n"/>
      <c r="H42" s="9" t="n"/>
      <c r="I42" s="9" t="n"/>
    </row>
    <row r="43" ht="6" customHeight="1"/>
    <row r="45">
      <c r="A45" s="17" t="inlineStr">
        <is>
          <t>CURVA DE COMPACTACIÓN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</row>
    <row r="77">
      <c r="A77" s="29" t="inlineStr">
        <is>
          <t>ESP. ENSAYOS GEOTECNICOS</t>
        </is>
      </c>
      <c r="D77" s="29" t="inlineStr">
        <is>
          <t>ESP. SUELOS Y PAVIMENTOS</t>
        </is>
      </c>
      <c r="G77" s="29" t="inlineStr">
        <is>
          <t>SUPERVISOR</t>
        </is>
      </c>
    </row>
  </sheetData>
  <mergeCells count="88">
    <mergeCell ref="H35:I35"/>
    <mergeCell ref="F25:G25"/>
    <mergeCell ref="C5:G5"/>
    <mergeCell ref="B22:C22"/>
    <mergeCell ref="D22:E22"/>
    <mergeCell ref="B31:C31"/>
    <mergeCell ref="D36:E36"/>
    <mergeCell ref="D31:E31"/>
    <mergeCell ref="H39:I39"/>
    <mergeCell ref="C4:G4"/>
    <mergeCell ref="B21:C21"/>
    <mergeCell ref="B8:I8"/>
    <mergeCell ref="B38:C38"/>
    <mergeCell ref="F23:G23"/>
    <mergeCell ref="B10:I10"/>
    <mergeCell ref="H37:I37"/>
    <mergeCell ref="A77:C77"/>
    <mergeCell ref="F13:G13"/>
    <mergeCell ref="A30:I30"/>
    <mergeCell ref="B24:C24"/>
    <mergeCell ref="D24:E24"/>
    <mergeCell ref="B33:C33"/>
    <mergeCell ref="D33:E33"/>
    <mergeCell ref="H23:I23"/>
    <mergeCell ref="B32:C32"/>
    <mergeCell ref="B26:C26"/>
    <mergeCell ref="D26:E26"/>
    <mergeCell ref="B35:C35"/>
    <mergeCell ref="D35:E35"/>
    <mergeCell ref="E12:F12"/>
    <mergeCell ref="B25:C25"/>
    <mergeCell ref="D34:E34"/>
    <mergeCell ref="F34:G34"/>
    <mergeCell ref="B27:C27"/>
    <mergeCell ref="H25:I25"/>
    <mergeCell ref="H34:I34"/>
    <mergeCell ref="F33:G33"/>
    <mergeCell ref="H36:I36"/>
    <mergeCell ref="B37:C37"/>
    <mergeCell ref="D37:E37"/>
    <mergeCell ref="F31:G31"/>
    <mergeCell ref="D39:E39"/>
    <mergeCell ref="F39:G39"/>
    <mergeCell ref="D23:E23"/>
    <mergeCell ref="D38:E38"/>
    <mergeCell ref="A45:I45"/>
    <mergeCell ref="B41:I41"/>
    <mergeCell ref="H38:I38"/>
    <mergeCell ref="H31:I31"/>
    <mergeCell ref="F21:G21"/>
    <mergeCell ref="H21:I21"/>
    <mergeCell ref="D27:E27"/>
    <mergeCell ref="F36:G36"/>
    <mergeCell ref="C2:G2"/>
    <mergeCell ref="B34:C34"/>
    <mergeCell ref="F22:G22"/>
    <mergeCell ref="G12:I12"/>
    <mergeCell ref="H22:I22"/>
    <mergeCell ref="D25:E25"/>
    <mergeCell ref="B12:D12"/>
    <mergeCell ref="D77:F77"/>
    <mergeCell ref="A16:I16"/>
    <mergeCell ref="A8"/>
    <mergeCell ref="C6:G6"/>
    <mergeCell ref="G18:I18"/>
    <mergeCell ref="D21:E21"/>
    <mergeCell ref="B39:C39"/>
    <mergeCell ref="F24:G24"/>
    <mergeCell ref="C1:G1"/>
    <mergeCell ref="B23:C23"/>
    <mergeCell ref="B42:I42"/>
    <mergeCell ref="D32:E32"/>
    <mergeCell ref="F32:G32"/>
    <mergeCell ref="F26:G26"/>
    <mergeCell ref="A20:I20"/>
    <mergeCell ref="F35:G35"/>
    <mergeCell ref="F38:G38"/>
    <mergeCell ref="H32:I32"/>
    <mergeCell ref="F27:G27"/>
    <mergeCell ref="H27:I27"/>
    <mergeCell ref="G77:I77"/>
    <mergeCell ref="F37:G37"/>
    <mergeCell ref="H24:I24"/>
    <mergeCell ref="H33:I33"/>
    <mergeCell ref="B36:C36"/>
    <mergeCell ref="C13:D13"/>
    <mergeCell ref="C3:G3"/>
    <mergeCell ref="H26:I26"/>
  </mergeCells>
  <pageMargins left="0.35" right="0.35" top="0.45" bottom="0.45" header="0.5" footer="0.5"/>
  <pageSetup orientation="portrait" paperSize="9" fitToHeight="0" fitToWidth="1"/>
  <rowBreaks count="1" manualBreakCount="1">
    <brk id="44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F1">
        <f>IFERROR(INDEX(LINEST(B3:B6,A3:A6^{1,2,3}),1,1),"")</f>
        <v/>
      </c>
      <c r="G1">
        <f>IFERROR(INDEX(LINEST(B3:B6,A3:A6^{1,2,3}),1,4),"")</f>
        <v/>
      </c>
    </row>
    <row r="2">
      <c r="F2">
        <f>IFERROR(INDEX(LINEST(B3:B6,A3:A6^{1,2,3}),1,2),"")</f>
        <v/>
      </c>
      <c r="G2">
        <f>IF(COUNT(A3:A6)&lt;4,NA(),MIN(A3:A6)-0.05*(MAX(A3:A6)-MIN(A3:A6)))</f>
        <v/>
      </c>
    </row>
    <row r="3">
      <c r="A3">
        <f>IF(OR(NOT(ISNUMBER(Reporte!B38)),NOT(ISNUMBER(Reporte!B39)),Reporte!B39=0),NA(),Reporte!B38)</f>
        <v/>
      </c>
      <c r="B3">
        <f>IF(ISNA(A3),NA(),Reporte!B39)</f>
        <v/>
      </c>
      <c r="F3">
        <f>IFERROR(INDEX(LINEST(B3:B6,A3:A6^{1,2,3}),1,3),"")</f>
        <v/>
      </c>
      <c r="G3">
        <f>IF(NOT(ISNUMBER(G2)),NA(),((MAX(A3:A6)+0.05*(MAX(A3:A6)-MIN(A3:A6)))-G2)/200)</f>
        <v/>
      </c>
      <c r="H3">
        <f>IF(OR(COUNT($A$3:$A$6)&lt;4,NOT(ISNUMBER($G$2))),"",$G$2+(ROW()-3)*$G$3)</f>
        <v/>
      </c>
      <c r="I3">
        <f>IF(H3="","",$F$1*H3^3+$F$2*H3^2+$F$3*H3+$G$1)</f>
        <v/>
      </c>
      <c r="K3">
        <f>IF(ISNUMBER($F$4),$F$4,NA())</f>
        <v/>
      </c>
      <c r="L3">
        <f>IF(ISNUMBER($F$5),$F$5,NA())</f>
        <v/>
      </c>
    </row>
    <row r="4">
      <c r="A4">
        <f>IF(OR(NOT(ISNUMBER(Reporte!D38)),NOT(ISNUMBER(Reporte!D39)),Reporte!D39=0),NA(),Reporte!D38)</f>
        <v/>
      </c>
      <c r="B4">
        <f>IF(ISNA(A4),NA(),Reporte!D39)</f>
        <v/>
      </c>
      <c r="F4">
        <f>IF(COUNT($A$3:$A$6)&gt;=4,IFERROR(INDEX($H$3:$H$203,MATCH(MAX($I$3:$I$203),$I$3:$I$203,0)),""),IF(ISNUMBER($F$11),$F$11,""))</f>
        <v/>
      </c>
      <c r="H4">
        <f>IF(OR(COUNT($A$3:$A$6)&lt;4,NOT(ISNUMBER($G$2))),"",$G$2+(ROW()-3)*$G$3)</f>
        <v/>
      </c>
      <c r="I4">
        <f>IF(H4="","",$F$1*H4^3+$F$2*H4^2+$F$3*H4+$G$1)</f>
        <v/>
      </c>
    </row>
    <row r="5">
      <c r="A5">
        <f>IF(OR(NOT(ISNUMBER(Reporte!F38)),NOT(ISNUMBER(Reporte!F39)),Reporte!F39=0),NA(),Reporte!F38)</f>
        <v/>
      </c>
      <c r="B5">
        <f>IF(ISNA(A5),NA(),Reporte!F39)</f>
        <v/>
      </c>
      <c r="F5">
        <f>IF(COUNT($A$3:$A$6)&gt;=4,IFERROR(MAX($I$3:$I$203),""),IF(ISNUMBER($F$12),$F$12,""))</f>
        <v/>
      </c>
      <c r="H5">
        <f>IF(OR(COUNT($A$3:$A$6)&lt;4,NOT(ISNUMBER($G$2))),"",$G$2+(ROW()-3)*$G$3)</f>
        <v/>
      </c>
      <c r="I5">
        <f>IF(H5="","",$F$1*H5^3+$F$2*H5^2+$F$3*H5+$G$1)</f>
        <v/>
      </c>
    </row>
    <row r="6">
      <c r="A6">
        <f>IF(OR(NOT(ISNUMBER(Reporte!H38)),NOT(ISNUMBER(Reporte!H39)),Reporte!H39=0),NA(),Reporte!H38)</f>
        <v/>
      </c>
      <c r="B6">
        <f>IF(ISNA(A6),NA(),Reporte!H39)</f>
        <v/>
      </c>
      <c r="H6">
        <f>IF(OR(COUNT($A$3:$A$6)&lt;4,NOT(ISNUMBER($G$2))),"",$G$2+(ROW()-3)*$G$3)</f>
        <v/>
      </c>
      <c r="I6">
        <f>IF(H6="","",$F$1*H6^3+$F$2*H6^2+$F$3*H6+$G$1)</f>
        <v/>
      </c>
    </row>
    <row r="7">
      <c r="H7">
        <f>IF(OR(COUNT($A$3:$A$6)&lt;4,NOT(ISNUMBER($G$2))),"",$G$2+(ROW()-3)*$G$3)</f>
        <v/>
      </c>
      <c r="I7">
        <f>IF(H7="","",$F$1*H7^3+$F$2*H7^2+$F$3*H7+$G$1)</f>
        <v/>
      </c>
    </row>
    <row r="8">
      <c r="F8">
        <f>IFERROR(INDEX(LINEST(B3:B6,A3:A6^{1,2}),1,1),"")</f>
        <v/>
      </c>
      <c r="H8">
        <f>IF(OR(COUNT($A$3:$A$6)&lt;4,NOT(ISNUMBER($G$2))),"",$G$2+(ROW()-3)*$G$3)</f>
        <v/>
      </c>
      <c r="I8">
        <f>IF(H8="","",$F$1*H8^3+$F$2*H8^2+$F$3*H8+$G$1)</f>
        <v/>
      </c>
    </row>
    <row r="9">
      <c r="F9">
        <f>IFERROR(INDEX(LINEST(B3:B6,A3:A6^{1,2}),1,2),"")</f>
        <v/>
      </c>
      <c r="H9">
        <f>IF(OR(COUNT($A$3:$A$6)&lt;4,NOT(ISNUMBER($G$2))),"",$G$2+(ROW()-3)*$G$3)</f>
        <v/>
      </c>
      <c r="I9">
        <f>IF(H9="","",$F$1*H9^3+$F$2*H9^2+$F$3*H9+$G$1)</f>
        <v/>
      </c>
    </row>
    <row r="10">
      <c r="F10">
        <f>IFERROR(INDEX(LINEST(B3:B6,A3:A6^{1,2}),1,3),"")</f>
        <v/>
      </c>
      <c r="H10">
        <f>IF(OR(COUNT($A$3:$A$6)&lt;4,NOT(ISNUMBER($G$2))),"",$G$2+(ROW()-3)*$G$3)</f>
        <v/>
      </c>
      <c r="I10">
        <f>IF(H10="","",$F$1*H10^3+$F$2*H10^2+$F$3*H10+$G$1)</f>
        <v/>
      </c>
    </row>
    <row r="11">
      <c r="F11">
        <f>IF(AND(ISNUMBER(F8),N(F8)&lt;&gt;0),-F9/(2*F8),"")</f>
        <v/>
      </c>
      <c r="H11">
        <f>IF(OR(COUNT($A$3:$A$6)&lt;4,NOT(ISNUMBER($G$2))),"",$G$2+(ROW()-3)*$G$3)</f>
        <v/>
      </c>
      <c r="I11">
        <f>IF(H11="","",$F$1*H11^3+$F$2*H11^2+$F$3*H11+$G$1)</f>
        <v/>
      </c>
    </row>
    <row r="12">
      <c r="F12">
        <f>IF(ISNUMBER(F11),F8*F11^2+F9*F11+F10,"")</f>
        <v/>
      </c>
      <c r="H12">
        <f>IF(OR(COUNT($A$3:$A$6)&lt;4,NOT(ISNUMBER($G$2))),"",$G$2+(ROW()-3)*$G$3)</f>
        <v/>
      </c>
      <c r="I12">
        <f>IF(H12="","",$F$1*H12^3+$F$2*H12^2+$F$3*H12+$G$1)</f>
        <v/>
      </c>
    </row>
    <row r="13">
      <c r="H13">
        <f>IF(OR(COUNT($A$3:$A$6)&lt;4,NOT(ISNUMBER($G$2))),"",$G$2+(ROW()-3)*$G$3)</f>
        <v/>
      </c>
      <c r="I13">
        <f>IF(H13="","",$F$1*H13^3+$F$2*H13^2+$F$3*H13+$G$1)</f>
        <v/>
      </c>
    </row>
    <row r="14">
      <c r="H14">
        <f>IF(OR(COUNT($A$3:$A$6)&lt;4,NOT(ISNUMBER($G$2))),"",$G$2+(ROW()-3)*$G$3)</f>
        <v/>
      </c>
      <c r="I14">
        <f>IF(H14="","",$F$1*H14^3+$F$2*H14^2+$F$3*H14+$G$1)</f>
        <v/>
      </c>
    </row>
    <row r="15">
      <c r="H15">
        <f>IF(OR(COUNT($A$3:$A$6)&lt;4,NOT(ISNUMBER($G$2))),"",$G$2+(ROW()-3)*$G$3)</f>
        <v/>
      </c>
      <c r="I15">
        <f>IF(H15="","",$F$1*H15^3+$F$2*H15^2+$F$3*H15+$G$1)</f>
        <v/>
      </c>
    </row>
    <row r="16">
      <c r="H16">
        <f>IF(OR(COUNT($A$3:$A$6)&lt;4,NOT(ISNUMBER($G$2))),"",$G$2+(ROW()-3)*$G$3)</f>
        <v/>
      </c>
      <c r="I16">
        <f>IF(H16="","",$F$1*H16^3+$F$2*H16^2+$F$3*H16+$G$1)</f>
        <v/>
      </c>
    </row>
    <row r="17">
      <c r="H17">
        <f>IF(OR(COUNT($A$3:$A$6)&lt;4,NOT(ISNUMBER($G$2))),"",$G$2+(ROW()-3)*$G$3)</f>
        <v/>
      </c>
      <c r="I17">
        <f>IF(H17="","",$F$1*H17^3+$F$2*H17^2+$F$3*H17+$G$1)</f>
        <v/>
      </c>
    </row>
    <row r="18">
      <c r="H18">
        <f>IF(OR(COUNT($A$3:$A$6)&lt;4,NOT(ISNUMBER($G$2))),"",$G$2+(ROW()-3)*$G$3)</f>
        <v/>
      </c>
      <c r="I18">
        <f>IF(H18="","",$F$1*H18^3+$F$2*H18^2+$F$3*H18+$G$1)</f>
        <v/>
      </c>
    </row>
    <row r="19">
      <c r="H19">
        <f>IF(OR(COUNT($A$3:$A$6)&lt;4,NOT(ISNUMBER($G$2))),"",$G$2+(ROW()-3)*$G$3)</f>
        <v/>
      </c>
      <c r="I19">
        <f>IF(H19="","",$F$1*H19^3+$F$2*H19^2+$F$3*H19+$G$1)</f>
        <v/>
      </c>
    </row>
    <row r="20">
      <c r="H20">
        <f>IF(OR(COUNT($A$3:$A$6)&lt;4,NOT(ISNUMBER($G$2))),"",$G$2+(ROW()-3)*$G$3)</f>
        <v/>
      </c>
      <c r="I20">
        <f>IF(H20="","",$F$1*H20^3+$F$2*H20^2+$F$3*H20+$G$1)</f>
        <v/>
      </c>
    </row>
    <row r="21">
      <c r="H21">
        <f>IF(OR(COUNT($A$3:$A$6)&lt;4,NOT(ISNUMBER($G$2))),"",$G$2+(ROW()-3)*$G$3)</f>
        <v/>
      </c>
      <c r="I21">
        <f>IF(H21="","",$F$1*H21^3+$F$2*H21^2+$F$3*H21+$G$1)</f>
        <v/>
      </c>
    </row>
    <row r="22">
      <c r="H22">
        <f>IF(OR(COUNT($A$3:$A$6)&lt;4,NOT(ISNUMBER($G$2))),"",$G$2+(ROW()-3)*$G$3)</f>
        <v/>
      </c>
      <c r="I22">
        <f>IF(H22="","",$F$1*H22^3+$F$2*H22^2+$F$3*H22+$G$1)</f>
        <v/>
      </c>
    </row>
    <row r="23">
      <c r="H23">
        <f>IF(OR(COUNT($A$3:$A$6)&lt;4,NOT(ISNUMBER($G$2))),"",$G$2+(ROW()-3)*$G$3)</f>
        <v/>
      </c>
      <c r="I23">
        <f>IF(H23="","",$F$1*H23^3+$F$2*H23^2+$F$3*H23+$G$1)</f>
        <v/>
      </c>
    </row>
    <row r="24">
      <c r="H24">
        <f>IF(OR(COUNT($A$3:$A$6)&lt;4,NOT(ISNUMBER($G$2))),"",$G$2+(ROW()-3)*$G$3)</f>
        <v/>
      </c>
      <c r="I24">
        <f>IF(H24="","",$F$1*H24^3+$F$2*H24^2+$F$3*H24+$G$1)</f>
        <v/>
      </c>
    </row>
    <row r="25">
      <c r="H25">
        <f>IF(OR(COUNT($A$3:$A$6)&lt;4,NOT(ISNUMBER($G$2))),"",$G$2+(ROW()-3)*$G$3)</f>
        <v/>
      </c>
      <c r="I25">
        <f>IF(H25="","",$F$1*H25^3+$F$2*H25^2+$F$3*H25+$G$1)</f>
        <v/>
      </c>
    </row>
    <row r="26">
      <c r="H26">
        <f>IF(OR(COUNT($A$3:$A$6)&lt;4,NOT(ISNUMBER($G$2))),"",$G$2+(ROW()-3)*$G$3)</f>
        <v/>
      </c>
      <c r="I26">
        <f>IF(H26="","",$F$1*H26^3+$F$2*H26^2+$F$3*H26+$G$1)</f>
        <v/>
      </c>
    </row>
    <row r="27">
      <c r="H27">
        <f>IF(OR(COUNT($A$3:$A$6)&lt;4,NOT(ISNUMBER($G$2))),"",$G$2+(ROW()-3)*$G$3)</f>
        <v/>
      </c>
      <c r="I27">
        <f>IF(H27="","",$F$1*H27^3+$F$2*H27^2+$F$3*H27+$G$1)</f>
        <v/>
      </c>
    </row>
    <row r="28">
      <c r="H28">
        <f>IF(OR(COUNT($A$3:$A$6)&lt;4,NOT(ISNUMBER($G$2))),"",$G$2+(ROW()-3)*$G$3)</f>
        <v/>
      </c>
      <c r="I28">
        <f>IF(H28="","",$F$1*H28^3+$F$2*H28^2+$F$3*H28+$G$1)</f>
        <v/>
      </c>
    </row>
    <row r="29">
      <c r="H29">
        <f>IF(OR(COUNT($A$3:$A$6)&lt;4,NOT(ISNUMBER($G$2))),"",$G$2+(ROW()-3)*$G$3)</f>
        <v/>
      </c>
      <c r="I29">
        <f>IF(H29="","",$F$1*H29^3+$F$2*H29^2+$F$3*H29+$G$1)</f>
        <v/>
      </c>
    </row>
    <row r="30">
      <c r="H30">
        <f>IF(OR(COUNT($A$3:$A$6)&lt;4,NOT(ISNUMBER($G$2))),"",$G$2+(ROW()-3)*$G$3)</f>
        <v/>
      </c>
      <c r="I30">
        <f>IF(H30="","",$F$1*H30^3+$F$2*H30^2+$F$3*H30+$G$1)</f>
        <v/>
      </c>
    </row>
    <row r="31">
      <c r="H31">
        <f>IF(OR(COUNT($A$3:$A$6)&lt;4,NOT(ISNUMBER($G$2))),"",$G$2+(ROW()-3)*$G$3)</f>
        <v/>
      </c>
      <c r="I31">
        <f>IF(H31="","",$F$1*H31^3+$F$2*H31^2+$F$3*H31+$G$1)</f>
        <v/>
      </c>
    </row>
    <row r="32">
      <c r="H32">
        <f>IF(OR(COUNT($A$3:$A$6)&lt;4,NOT(ISNUMBER($G$2))),"",$G$2+(ROW()-3)*$G$3)</f>
        <v/>
      </c>
      <c r="I32">
        <f>IF(H32="","",$F$1*H32^3+$F$2*H32^2+$F$3*H32+$G$1)</f>
        <v/>
      </c>
    </row>
    <row r="33">
      <c r="H33">
        <f>IF(OR(COUNT($A$3:$A$6)&lt;4,NOT(ISNUMBER($G$2))),"",$G$2+(ROW()-3)*$G$3)</f>
        <v/>
      </c>
      <c r="I33">
        <f>IF(H33="","",$F$1*H33^3+$F$2*H33^2+$F$3*H33+$G$1)</f>
        <v/>
      </c>
    </row>
    <row r="34">
      <c r="H34">
        <f>IF(OR(COUNT($A$3:$A$6)&lt;4,NOT(ISNUMBER($G$2))),"",$G$2+(ROW()-3)*$G$3)</f>
        <v/>
      </c>
      <c r="I34">
        <f>IF(H34="","",$F$1*H34^3+$F$2*H34^2+$F$3*H34+$G$1)</f>
        <v/>
      </c>
    </row>
    <row r="35">
      <c r="H35">
        <f>IF(OR(COUNT($A$3:$A$6)&lt;4,NOT(ISNUMBER($G$2))),"",$G$2+(ROW()-3)*$G$3)</f>
        <v/>
      </c>
      <c r="I35">
        <f>IF(H35="","",$F$1*H35^3+$F$2*H35^2+$F$3*H35+$G$1)</f>
        <v/>
      </c>
    </row>
    <row r="36">
      <c r="H36">
        <f>IF(OR(COUNT($A$3:$A$6)&lt;4,NOT(ISNUMBER($G$2))),"",$G$2+(ROW()-3)*$G$3)</f>
        <v/>
      </c>
      <c r="I36">
        <f>IF(H36="","",$F$1*H36^3+$F$2*H36^2+$F$3*H36+$G$1)</f>
        <v/>
      </c>
    </row>
    <row r="37">
      <c r="H37">
        <f>IF(OR(COUNT($A$3:$A$6)&lt;4,NOT(ISNUMBER($G$2))),"",$G$2+(ROW()-3)*$G$3)</f>
        <v/>
      </c>
      <c r="I37">
        <f>IF(H37="","",$F$1*H37^3+$F$2*H37^2+$F$3*H37+$G$1)</f>
        <v/>
      </c>
    </row>
    <row r="38">
      <c r="H38">
        <f>IF(OR(COUNT($A$3:$A$6)&lt;4,NOT(ISNUMBER($G$2))),"",$G$2+(ROW()-3)*$G$3)</f>
        <v/>
      </c>
      <c r="I38">
        <f>IF(H38="","",$F$1*H38^3+$F$2*H38^2+$F$3*H38+$G$1)</f>
        <v/>
      </c>
    </row>
    <row r="39">
      <c r="H39">
        <f>IF(OR(COUNT($A$3:$A$6)&lt;4,NOT(ISNUMBER($G$2))),"",$G$2+(ROW()-3)*$G$3)</f>
        <v/>
      </c>
      <c r="I39">
        <f>IF(H39="","",$F$1*H39^3+$F$2*H39^2+$F$3*H39+$G$1)</f>
        <v/>
      </c>
    </row>
    <row r="40">
      <c r="H40">
        <f>IF(OR(COUNT($A$3:$A$6)&lt;4,NOT(ISNUMBER($G$2))),"",$G$2+(ROW()-3)*$G$3)</f>
        <v/>
      </c>
      <c r="I40">
        <f>IF(H40="","",$F$1*H40^3+$F$2*H40^2+$F$3*H40+$G$1)</f>
        <v/>
      </c>
    </row>
    <row r="41">
      <c r="H41">
        <f>IF(OR(COUNT($A$3:$A$6)&lt;4,NOT(ISNUMBER($G$2))),"",$G$2+(ROW()-3)*$G$3)</f>
        <v/>
      </c>
      <c r="I41">
        <f>IF(H41="","",$F$1*H41^3+$F$2*H41^2+$F$3*H41+$G$1)</f>
        <v/>
      </c>
    </row>
    <row r="42">
      <c r="H42">
        <f>IF(OR(COUNT($A$3:$A$6)&lt;4,NOT(ISNUMBER($G$2))),"",$G$2+(ROW()-3)*$G$3)</f>
        <v/>
      </c>
      <c r="I42">
        <f>IF(H42="","",$F$1*H42^3+$F$2*H42^2+$F$3*H42+$G$1)</f>
        <v/>
      </c>
    </row>
    <row r="43">
      <c r="H43">
        <f>IF(OR(COUNT($A$3:$A$6)&lt;4,NOT(ISNUMBER($G$2))),"",$G$2+(ROW()-3)*$G$3)</f>
        <v/>
      </c>
      <c r="I43">
        <f>IF(H43="","",$F$1*H43^3+$F$2*H43^2+$F$3*H43+$G$1)</f>
        <v/>
      </c>
    </row>
    <row r="44">
      <c r="H44">
        <f>IF(OR(COUNT($A$3:$A$6)&lt;4,NOT(ISNUMBER($G$2))),"",$G$2+(ROW()-3)*$G$3)</f>
        <v/>
      </c>
      <c r="I44">
        <f>IF(H44="","",$F$1*H44^3+$F$2*H44^2+$F$3*H44+$G$1)</f>
        <v/>
      </c>
    </row>
    <row r="45">
      <c r="H45">
        <f>IF(OR(COUNT($A$3:$A$6)&lt;4,NOT(ISNUMBER($G$2))),"",$G$2+(ROW()-3)*$G$3)</f>
        <v/>
      </c>
      <c r="I45">
        <f>IF(H45="","",$F$1*H45^3+$F$2*H45^2+$F$3*H45+$G$1)</f>
        <v/>
      </c>
    </row>
    <row r="46">
      <c r="H46">
        <f>IF(OR(COUNT($A$3:$A$6)&lt;4,NOT(ISNUMBER($G$2))),"",$G$2+(ROW()-3)*$G$3)</f>
        <v/>
      </c>
      <c r="I46">
        <f>IF(H46="","",$F$1*H46^3+$F$2*H46^2+$F$3*H46+$G$1)</f>
        <v/>
      </c>
    </row>
    <row r="47">
      <c r="H47">
        <f>IF(OR(COUNT($A$3:$A$6)&lt;4,NOT(ISNUMBER($G$2))),"",$G$2+(ROW()-3)*$G$3)</f>
        <v/>
      </c>
      <c r="I47">
        <f>IF(H47="","",$F$1*H47^3+$F$2*H47^2+$F$3*H47+$G$1)</f>
        <v/>
      </c>
    </row>
    <row r="48">
      <c r="H48">
        <f>IF(OR(COUNT($A$3:$A$6)&lt;4,NOT(ISNUMBER($G$2))),"",$G$2+(ROW()-3)*$G$3)</f>
        <v/>
      </c>
      <c r="I48">
        <f>IF(H48="","",$F$1*H48^3+$F$2*H48^2+$F$3*H48+$G$1)</f>
        <v/>
      </c>
    </row>
    <row r="49">
      <c r="H49">
        <f>IF(OR(COUNT($A$3:$A$6)&lt;4,NOT(ISNUMBER($G$2))),"",$G$2+(ROW()-3)*$G$3)</f>
        <v/>
      </c>
      <c r="I49">
        <f>IF(H49="","",$F$1*H49^3+$F$2*H49^2+$F$3*H49+$G$1)</f>
        <v/>
      </c>
    </row>
    <row r="50">
      <c r="H50">
        <f>IF(OR(COUNT($A$3:$A$6)&lt;4,NOT(ISNUMBER($G$2))),"",$G$2+(ROW()-3)*$G$3)</f>
        <v/>
      </c>
      <c r="I50">
        <f>IF(H50="","",$F$1*H50^3+$F$2*H50^2+$F$3*H50+$G$1)</f>
        <v/>
      </c>
    </row>
    <row r="51">
      <c r="H51">
        <f>IF(OR(COUNT($A$3:$A$6)&lt;4,NOT(ISNUMBER($G$2))),"",$G$2+(ROW()-3)*$G$3)</f>
        <v/>
      </c>
      <c r="I51">
        <f>IF(H51="","",$F$1*H51^3+$F$2*H51^2+$F$3*H51+$G$1)</f>
        <v/>
      </c>
    </row>
    <row r="52">
      <c r="H52">
        <f>IF(OR(COUNT($A$3:$A$6)&lt;4,NOT(ISNUMBER($G$2))),"",$G$2+(ROW()-3)*$G$3)</f>
        <v/>
      </c>
      <c r="I52">
        <f>IF(H52="","",$F$1*H52^3+$F$2*H52^2+$F$3*H52+$G$1)</f>
        <v/>
      </c>
    </row>
    <row r="53">
      <c r="H53">
        <f>IF(OR(COUNT($A$3:$A$6)&lt;4,NOT(ISNUMBER($G$2))),"",$G$2+(ROW()-3)*$G$3)</f>
        <v/>
      </c>
      <c r="I53">
        <f>IF(H53="","",$F$1*H53^3+$F$2*H53^2+$F$3*H53+$G$1)</f>
        <v/>
      </c>
    </row>
    <row r="54">
      <c r="H54">
        <f>IF(OR(COUNT($A$3:$A$6)&lt;4,NOT(ISNUMBER($G$2))),"",$G$2+(ROW()-3)*$G$3)</f>
        <v/>
      </c>
      <c r="I54">
        <f>IF(H54="","",$F$1*H54^3+$F$2*H54^2+$F$3*H54+$G$1)</f>
        <v/>
      </c>
    </row>
    <row r="55">
      <c r="H55">
        <f>IF(OR(COUNT($A$3:$A$6)&lt;4,NOT(ISNUMBER($G$2))),"",$G$2+(ROW()-3)*$G$3)</f>
        <v/>
      </c>
      <c r="I55">
        <f>IF(H55="","",$F$1*H55^3+$F$2*H55^2+$F$3*H55+$G$1)</f>
        <v/>
      </c>
    </row>
    <row r="56">
      <c r="H56">
        <f>IF(OR(COUNT($A$3:$A$6)&lt;4,NOT(ISNUMBER($G$2))),"",$G$2+(ROW()-3)*$G$3)</f>
        <v/>
      </c>
      <c r="I56">
        <f>IF(H56="","",$F$1*H56^3+$F$2*H56^2+$F$3*H56+$G$1)</f>
        <v/>
      </c>
    </row>
    <row r="57">
      <c r="H57">
        <f>IF(OR(COUNT($A$3:$A$6)&lt;4,NOT(ISNUMBER($G$2))),"",$G$2+(ROW()-3)*$G$3)</f>
        <v/>
      </c>
      <c r="I57">
        <f>IF(H57="","",$F$1*H57^3+$F$2*H57^2+$F$3*H57+$G$1)</f>
        <v/>
      </c>
    </row>
    <row r="58">
      <c r="H58">
        <f>IF(OR(COUNT($A$3:$A$6)&lt;4,NOT(ISNUMBER($G$2))),"",$G$2+(ROW()-3)*$G$3)</f>
        <v/>
      </c>
      <c r="I58">
        <f>IF(H58="","",$F$1*H58^3+$F$2*H58^2+$F$3*H58+$G$1)</f>
        <v/>
      </c>
    </row>
    <row r="59">
      <c r="H59">
        <f>IF(OR(COUNT($A$3:$A$6)&lt;4,NOT(ISNUMBER($G$2))),"",$G$2+(ROW()-3)*$G$3)</f>
        <v/>
      </c>
      <c r="I59">
        <f>IF(H59="","",$F$1*H59^3+$F$2*H59^2+$F$3*H59+$G$1)</f>
        <v/>
      </c>
    </row>
    <row r="60">
      <c r="H60">
        <f>IF(OR(COUNT($A$3:$A$6)&lt;4,NOT(ISNUMBER($G$2))),"",$G$2+(ROW()-3)*$G$3)</f>
        <v/>
      </c>
      <c r="I60">
        <f>IF(H60="","",$F$1*H60^3+$F$2*H60^2+$F$3*H60+$G$1)</f>
        <v/>
      </c>
    </row>
    <row r="61">
      <c r="H61">
        <f>IF(OR(COUNT($A$3:$A$6)&lt;4,NOT(ISNUMBER($G$2))),"",$G$2+(ROW()-3)*$G$3)</f>
        <v/>
      </c>
      <c r="I61">
        <f>IF(H61="","",$F$1*H61^3+$F$2*H61^2+$F$3*H61+$G$1)</f>
        <v/>
      </c>
    </row>
    <row r="62">
      <c r="H62">
        <f>IF(OR(COUNT($A$3:$A$6)&lt;4,NOT(ISNUMBER($G$2))),"",$G$2+(ROW()-3)*$G$3)</f>
        <v/>
      </c>
      <c r="I62">
        <f>IF(H62="","",$F$1*H62^3+$F$2*H62^2+$F$3*H62+$G$1)</f>
        <v/>
      </c>
    </row>
    <row r="63">
      <c r="H63">
        <f>IF(OR(COUNT($A$3:$A$6)&lt;4,NOT(ISNUMBER($G$2))),"",$G$2+(ROW()-3)*$G$3)</f>
        <v/>
      </c>
      <c r="I63">
        <f>IF(H63="","",$F$1*H63^3+$F$2*H63^2+$F$3*H63+$G$1)</f>
        <v/>
      </c>
    </row>
    <row r="64">
      <c r="H64">
        <f>IF(OR(COUNT($A$3:$A$6)&lt;4,NOT(ISNUMBER($G$2))),"",$G$2+(ROW()-3)*$G$3)</f>
        <v/>
      </c>
      <c r="I64">
        <f>IF(H64="","",$F$1*H64^3+$F$2*H64^2+$F$3*H64+$G$1)</f>
        <v/>
      </c>
    </row>
    <row r="65">
      <c r="H65">
        <f>IF(OR(COUNT($A$3:$A$6)&lt;4,NOT(ISNUMBER($G$2))),"",$G$2+(ROW()-3)*$G$3)</f>
        <v/>
      </c>
      <c r="I65">
        <f>IF(H65="","",$F$1*H65^3+$F$2*H65^2+$F$3*H65+$G$1)</f>
        <v/>
      </c>
    </row>
    <row r="66">
      <c r="H66">
        <f>IF(OR(COUNT($A$3:$A$6)&lt;4,NOT(ISNUMBER($G$2))),"",$G$2+(ROW()-3)*$G$3)</f>
        <v/>
      </c>
      <c r="I66">
        <f>IF(H66="","",$F$1*H66^3+$F$2*H66^2+$F$3*H66+$G$1)</f>
        <v/>
      </c>
    </row>
    <row r="67">
      <c r="H67">
        <f>IF(OR(COUNT($A$3:$A$6)&lt;4,NOT(ISNUMBER($G$2))),"",$G$2+(ROW()-3)*$G$3)</f>
        <v/>
      </c>
      <c r="I67">
        <f>IF(H67="","",$F$1*H67^3+$F$2*H67^2+$F$3*H67+$G$1)</f>
        <v/>
      </c>
    </row>
    <row r="68">
      <c r="H68">
        <f>IF(OR(COUNT($A$3:$A$6)&lt;4,NOT(ISNUMBER($G$2))),"",$G$2+(ROW()-3)*$G$3)</f>
        <v/>
      </c>
      <c r="I68">
        <f>IF(H68="","",$F$1*H68^3+$F$2*H68^2+$F$3*H68+$G$1)</f>
        <v/>
      </c>
    </row>
    <row r="69">
      <c r="H69">
        <f>IF(OR(COUNT($A$3:$A$6)&lt;4,NOT(ISNUMBER($G$2))),"",$G$2+(ROW()-3)*$G$3)</f>
        <v/>
      </c>
      <c r="I69">
        <f>IF(H69="","",$F$1*H69^3+$F$2*H69^2+$F$3*H69+$G$1)</f>
        <v/>
      </c>
    </row>
    <row r="70">
      <c r="H70">
        <f>IF(OR(COUNT($A$3:$A$6)&lt;4,NOT(ISNUMBER($G$2))),"",$G$2+(ROW()-3)*$G$3)</f>
        <v/>
      </c>
      <c r="I70">
        <f>IF(H70="","",$F$1*H70^3+$F$2*H70^2+$F$3*H70+$G$1)</f>
        <v/>
      </c>
    </row>
    <row r="71">
      <c r="H71">
        <f>IF(OR(COUNT($A$3:$A$6)&lt;4,NOT(ISNUMBER($G$2))),"",$G$2+(ROW()-3)*$G$3)</f>
        <v/>
      </c>
      <c r="I71">
        <f>IF(H71="","",$F$1*H71^3+$F$2*H71^2+$F$3*H71+$G$1)</f>
        <v/>
      </c>
    </row>
    <row r="72">
      <c r="H72">
        <f>IF(OR(COUNT($A$3:$A$6)&lt;4,NOT(ISNUMBER($G$2))),"",$G$2+(ROW()-3)*$G$3)</f>
        <v/>
      </c>
      <c r="I72">
        <f>IF(H72="","",$F$1*H72^3+$F$2*H72^2+$F$3*H72+$G$1)</f>
        <v/>
      </c>
    </row>
    <row r="73">
      <c r="H73">
        <f>IF(OR(COUNT($A$3:$A$6)&lt;4,NOT(ISNUMBER($G$2))),"",$G$2+(ROW()-3)*$G$3)</f>
        <v/>
      </c>
      <c r="I73">
        <f>IF(H73="","",$F$1*H73^3+$F$2*H73^2+$F$3*H73+$G$1)</f>
        <v/>
      </c>
    </row>
    <row r="74">
      <c r="H74">
        <f>IF(OR(COUNT($A$3:$A$6)&lt;4,NOT(ISNUMBER($G$2))),"",$G$2+(ROW()-3)*$G$3)</f>
        <v/>
      </c>
      <c r="I74">
        <f>IF(H74="","",$F$1*H74^3+$F$2*H74^2+$F$3*H74+$G$1)</f>
        <v/>
      </c>
    </row>
    <row r="75">
      <c r="H75">
        <f>IF(OR(COUNT($A$3:$A$6)&lt;4,NOT(ISNUMBER($G$2))),"",$G$2+(ROW()-3)*$G$3)</f>
        <v/>
      </c>
      <c r="I75">
        <f>IF(H75="","",$F$1*H75^3+$F$2*H75^2+$F$3*H75+$G$1)</f>
        <v/>
      </c>
    </row>
    <row r="76">
      <c r="H76">
        <f>IF(OR(COUNT($A$3:$A$6)&lt;4,NOT(ISNUMBER($G$2))),"",$G$2+(ROW()-3)*$G$3)</f>
        <v/>
      </c>
      <c r="I76">
        <f>IF(H76="","",$F$1*H76^3+$F$2*H76^2+$F$3*H76+$G$1)</f>
        <v/>
      </c>
    </row>
    <row r="77">
      <c r="H77">
        <f>IF(OR(COUNT($A$3:$A$6)&lt;4,NOT(ISNUMBER($G$2))),"",$G$2+(ROW()-3)*$G$3)</f>
        <v/>
      </c>
      <c r="I77">
        <f>IF(H77="","",$F$1*H77^3+$F$2*H77^2+$F$3*H77+$G$1)</f>
        <v/>
      </c>
    </row>
    <row r="78">
      <c r="H78">
        <f>IF(OR(COUNT($A$3:$A$6)&lt;4,NOT(ISNUMBER($G$2))),"",$G$2+(ROW()-3)*$G$3)</f>
        <v/>
      </c>
      <c r="I78">
        <f>IF(H78="","",$F$1*H78^3+$F$2*H78^2+$F$3*H78+$G$1)</f>
        <v/>
      </c>
    </row>
    <row r="79">
      <c r="H79">
        <f>IF(OR(COUNT($A$3:$A$6)&lt;4,NOT(ISNUMBER($G$2))),"",$G$2+(ROW()-3)*$G$3)</f>
        <v/>
      </c>
      <c r="I79">
        <f>IF(H79="","",$F$1*H79^3+$F$2*H79^2+$F$3*H79+$G$1)</f>
        <v/>
      </c>
    </row>
    <row r="80">
      <c r="H80">
        <f>IF(OR(COUNT($A$3:$A$6)&lt;4,NOT(ISNUMBER($G$2))),"",$G$2+(ROW()-3)*$G$3)</f>
        <v/>
      </c>
      <c r="I80">
        <f>IF(H80="","",$F$1*H80^3+$F$2*H80^2+$F$3*H80+$G$1)</f>
        <v/>
      </c>
    </row>
    <row r="81">
      <c r="H81">
        <f>IF(OR(COUNT($A$3:$A$6)&lt;4,NOT(ISNUMBER($G$2))),"",$G$2+(ROW()-3)*$G$3)</f>
        <v/>
      </c>
      <c r="I81">
        <f>IF(H81="","",$F$1*H81^3+$F$2*H81^2+$F$3*H81+$G$1)</f>
        <v/>
      </c>
    </row>
    <row r="82">
      <c r="H82">
        <f>IF(OR(COUNT($A$3:$A$6)&lt;4,NOT(ISNUMBER($G$2))),"",$G$2+(ROW()-3)*$G$3)</f>
        <v/>
      </c>
      <c r="I82">
        <f>IF(H82="","",$F$1*H82^3+$F$2*H82^2+$F$3*H82+$G$1)</f>
        <v/>
      </c>
    </row>
    <row r="83">
      <c r="H83">
        <f>IF(OR(COUNT($A$3:$A$6)&lt;4,NOT(ISNUMBER($G$2))),"",$G$2+(ROW()-3)*$G$3)</f>
        <v/>
      </c>
      <c r="I83">
        <f>IF(H83="","",$F$1*H83^3+$F$2*H83^2+$F$3*H83+$G$1)</f>
        <v/>
      </c>
    </row>
    <row r="84">
      <c r="H84">
        <f>IF(OR(COUNT($A$3:$A$6)&lt;4,NOT(ISNUMBER($G$2))),"",$G$2+(ROW()-3)*$G$3)</f>
        <v/>
      </c>
      <c r="I84">
        <f>IF(H84="","",$F$1*H84^3+$F$2*H84^2+$F$3*H84+$G$1)</f>
        <v/>
      </c>
    </row>
    <row r="85">
      <c r="H85">
        <f>IF(OR(COUNT($A$3:$A$6)&lt;4,NOT(ISNUMBER($G$2))),"",$G$2+(ROW()-3)*$G$3)</f>
        <v/>
      </c>
      <c r="I85">
        <f>IF(H85="","",$F$1*H85^3+$F$2*H85^2+$F$3*H85+$G$1)</f>
        <v/>
      </c>
    </row>
    <row r="86">
      <c r="H86">
        <f>IF(OR(COUNT($A$3:$A$6)&lt;4,NOT(ISNUMBER($G$2))),"",$G$2+(ROW()-3)*$G$3)</f>
        <v/>
      </c>
      <c r="I86">
        <f>IF(H86="","",$F$1*H86^3+$F$2*H86^2+$F$3*H86+$G$1)</f>
        <v/>
      </c>
    </row>
    <row r="87">
      <c r="H87">
        <f>IF(OR(COUNT($A$3:$A$6)&lt;4,NOT(ISNUMBER($G$2))),"",$G$2+(ROW()-3)*$G$3)</f>
        <v/>
      </c>
      <c r="I87">
        <f>IF(H87="","",$F$1*H87^3+$F$2*H87^2+$F$3*H87+$G$1)</f>
        <v/>
      </c>
    </row>
    <row r="88">
      <c r="H88">
        <f>IF(OR(COUNT($A$3:$A$6)&lt;4,NOT(ISNUMBER($G$2))),"",$G$2+(ROW()-3)*$G$3)</f>
        <v/>
      </c>
      <c r="I88">
        <f>IF(H88="","",$F$1*H88^3+$F$2*H88^2+$F$3*H88+$G$1)</f>
        <v/>
      </c>
    </row>
    <row r="89">
      <c r="H89">
        <f>IF(OR(COUNT($A$3:$A$6)&lt;4,NOT(ISNUMBER($G$2))),"",$G$2+(ROW()-3)*$G$3)</f>
        <v/>
      </c>
      <c r="I89">
        <f>IF(H89="","",$F$1*H89^3+$F$2*H89^2+$F$3*H89+$G$1)</f>
        <v/>
      </c>
    </row>
    <row r="90">
      <c r="H90">
        <f>IF(OR(COUNT($A$3:$A$6)&lt;4,NOT(ISNUMBER($G$2))),"",$G$2+(ROW()-3)*$G$3)</f>
        <v/>
      </c>
      <c r="I90">
        <f>IF(H90="","",$F$1*H90^3+$F$2*H90^2+$F$3*H90+$G$1)</f>
        <v/>
      </c>
    </row>
    <row r="91">
      <c r="H91">
        <f>IF(OR(COUNT($A$3:$A$6)&lt;4,NOT(ISNUMBER($G$2))),"",$G$2+(ROW()-3)*$G$3)</f>
        <v/>
      </c>
      <c r="I91">
        <f>IF(H91="","",$F$1*H91^3+$F$2*H91^2+$F$3*H91+$G$1)</f>
        <v/>
      </c>
    </row>
    <row r="92">
      <c r="H92">
        <f>IF(OR(COUNT($A$3:$A$6)&lt;4,NOT(ISNUMBER($G$2))),"",$G$2+(ROW()-3)*$G$3)</f>
        <v/>
      </c>
      <c r="I92">
        <f>IF(H92="","",$F$1*H92^3+$F$2*H92^2+$F$3*H92+$G$1)</f>
        <v/>
      </c>
    </row>
    <row r="93">
      <c r="H93">
        <f>IF(OR(COUNT($A$3:$A$6)&lt;4,NOT(ISNUMBER($G$2))),"",$G$2+(ROW()-3)*$G$3)</f>
        <v/>
      </c>
      <c r="I93">
        <f>IF(H93="","",$F$1*H93^3+$F$2*H93^2+$F$3*H93+$G$1)</f>
        <v/>
      </c>
    </row>
    <row r="94">
      <c r="H94">
        <f>IF(OR(COUNT($A$3:$A$6)&lt;4,NOT(ISNUMBER($G$2))),"",$G$2+(ROW()-3)*$G$3)</f>
        <v/>
      </c>
      <c r="I94">
        <f>IF(H94="","",$F$1*H94^3+$F$2*H94^2+$F$3*H94+$G$1)</f>
        <v/>
      </c>
    </row>
    <row r="95">
      <c r="H95">
        <f>IF(OR(COUNT($A$3:$A$6)&lt;4,NOT(ISNUMBER($G$2))),"",$G$2+(ROW()-3)*$G$3)</f>
        <v/>
      </c>
      <c r="I95">
        <f>IF(H95="","",$F$1*H95^3+$F$2*H95^2+$F$3*H95+$G$1)</f>
        <v/>
      </c>
    </row>
    <row r="96">
      <c r="H96">
        <f>IF(OR(COUNT($A$3:$A$6)&lt;4,NOT(ISNUMBER($G$2))),"",$G$2+(ROW()-3)*$G$3)</f>
        <v/>
      </c>
      <c r="I96">
        <f>IF(H96="","",$F$1*H96^3+$F$2*H96^2+$F$3*H96+$G$1)</f>
        <v/>
      </c>
    </row>
    <row r="97">
      <c r="H97">
        <f>IF(OR(COUNT($A$3:$A$6)&lt;4,NOT(ISNUMBER($G$2))),"",$G$2+(ROW()-3)*$G$3)</f>
        <v/>
      </c>
      <c r="I97">
        <f>IF(H97="","",$F$1*H97^3+$F$2*H97^2+$F$3*H97+$G$1)</f>
        <v/>
      </c>
    </row>
    <row r="98">
      <c r="H98">
        <f>IF(OR(COUNT($A$3:$A$6)&lt;4,NOT(ISNUMBER($G$2))),"",$G$2+(ROW()-3)*$G$3)</f>
        <v/>
      </c>
      <c r="I98">
        <f>IF(H98="","",$F$1*H98^3+$F$2*H98^2+$F$3*H98+$G$1)</f>
        <v/>
      </c>
    </row>
    <row r="99">
      <c r="H99">
        <f>IF(OR(COUNT($A$3:$A$6)&lt;4,NOT(ISNUMBER($G$2))),"",$G$2+(ROW()-3)*$G$3)</f>
        <v/>
      </c>
      <c r="I99">
        <f>IF(H99="","",$F$1*H99^3+$F$2*H99^2+$F$3*H99+$G$1)</f>
        <v/>
      </c>
    </row>
    <row r="100">
      <c r="H100">
        <f>IF(OR(COUNT($A$3:$A$6)&lt;4,NOT(ISNUMBER($G$2))),"",$G$2+(ROW()-3)*$G$3)</f>
        <v/>
      </c>
      <c r="I100">
        <f>IF(H100="","",$F$1*H100^3+$F$2*H100^2+$F$3*H100+$G$1)</f>
        <v/>
      </c>
    </row>
    <row r="101">
      <c r="H101">
        <f>IF(OR(COUNT($A$3:$A$6)&lt;4,NOT(ISNUMBER($G$2))),"",$G$2+(ROW()-3)*$G$3)</f>
        <v/>
      </c>
      <c r="I101">
        <f>IF(H101="","",$F$1*H101^3+$F$2*H101^2+$F$3*H101+$G$1)</f>
        <v/>
      </c>
    </row>
    <row r="102">
      <c r="H102">
        <f>IF(OR(COUNT($A$3:$A$6)&lt;4,NOT(ISNUMBER($G$2))),"",$G$2+(ROW()-3)*$G$3)</f>
        <v/>
      </c>
      <c r="I102">
        <f>IF(H102="","",$F$1*H102^3+$F$2*H102^2+$F$3*H102+$G$1)</f>
        <v/>
      </c>
    </row>
    <row r="103">
      <c r="H103">
        <f>IF(OR(COUNT($A$3:$A$6)&lt;4,NOT(ISNUMBER($G$2))),"",$G$2+(ROW()-3)*$G$3)</f>
        <v/>
      </c>
      <c r="I103">
        <f>IF(H103="","",$F$1*H103^3+$F$2*H103^2+$F$3*H103+$G$1)</f>
        <v/>
      </c>
    </row>
    <row r="104">
      <c r="H104">
        <f>IF(OR(COUNT($A$3:$A$6)&lt;4,NOT(ISNUMBER($G$2))),"",$G$2+(ROW()-3)*$G$3)</f>
        <v/>
      </c>
      <c r="I104">
        <f>IF(H104="","",$F$1*H104^3+$F$2*H104^2+$F$3*H104+$G$1)</f>
        <v/>
      </c>
    </row>
    <row r="105">
      <c r="H105">
        <f>IF(OR(COUNT($A$3:$A$6)&lt;4,NOT(ISNUMBER($G$2))),"",$G$2+(ROW()-3)*$G$3)</f>
        <v/>
      </c>
      <c r="I105">
        <f>IF(H105="","",$F$1*H105^3+$F$2*H105^2+$F$3*H105+$G$1)</f>
        <v/>
      </c>
    </row>
    <row r="106">
      <c r="H106">
        <f>IF(OR(COUNT($A$3:$A$6)&lt;4,NOT(ISNUMBER($G$2))),"",$G$2+(ROW()-3)*$G$3)</f>
        <v/>
      </c>
      <c r="I106">
        <f>IF(H106="","",$F$1*H106^3+$F$2*H106^2+$F$3*H106+$G$1)</f>
        <v/>
      </c>
    </row>
    <row r="107">
      <c r="H107">
        <f>IF(OR(COUNT($A$3:$A$6)&lt;4,NOT(ISNUMBER($G$2))),"",$G$2+(ROW()-3)*$G$3)</f>
        <v/>
      </c>
      <c r="I107">
        <f>IF(H107="","",$F$1*H107^3+$F$2*H107^2+$F$3*H107+$G$1)</f>
        <v/>
      </c>
    </row>
    <row r="108">
      <c r="H108">
        <f>IF(OR(COUNT($A$3:$A$6)&lt;4,NOT(ISNUMBER($G$2))),"",$G$2+(ROW()-3)*$G$3)</f>
        <v/>
      </c>
      <c r="I108">
        <f>IF(H108="","",$F$1*H108^3+$F$2*H108^2+$F$3*H108+$G$1)</f>
        <v/>
      </c>
    </row>
    <row r="109">
      <c r="H109">
        <f>IF(OR(COUNT($A$3:$A$6)&lt;4,NOT(ISNUMBER($G$2))),"",$G$2+(ROW()-3)*$G$3)</f>
        <v/>
      </c>
      <c r="I109">
        <f>IF(H109="","",$F$1*H109^3+$F$2*H109^2+$F$3*H109+$G$1)</f>
        <v/>
      </c>
    </row>
    <row r="110">
      <c r="H110">
        <f>IF(OR(COUNT($A$3:$A$6)&lt;4,NOT(ISNUMBER($G$2))),"",$G$2+(ROW()-3)*$G$3)</f>
        <v/>
      </c>
      <c r="I110">
        <f>IF(H110="","",$F$1*H110^3+$F$2*H110^2+$F$3*H110+$G$1)</f>
        <v/>
      </c>
    </row>
    <row r="111">
      <c r="H111">
        <f>IF(OR(COUNT($A$3:$A$6)&lt;4,NOT(ISNUMBER($G$2))),"",$G$2+(ROW()-3)*$G$3)</f>
        <v/>
      </c>
      <c r="I111">
        <f>IF(H111="","",$F$1*H111^3+$F$2*H111^2+$F$3*H111+$G$1)</f>
        <v/>
      </c>
    </row>
    <row r="112">
      <c r="H112">
        <f>IF(OR(COUNT($A$3:$A$6)&lt;4,NOT(ISNUMBER($G$2))),"",$G$2+(ROW()-3)*$G$3)</f>
        <v/>
      </c>
      <c r="I112">
        <f>IF(H112="","",$F$1*H112^3+$F$2*H112^2+$F$3*H112+$G$1)</f>
        <v/>
      </c>
    </row>
    <row r="113">
      <c r="H113">
        <f>IF(OR(COUNT($A$3:$A$6)&lt;4,NOT(ISNUMBER($G$2))),"",$G$2+(ROW()-3)*$G$3)</f>
        <v/>
      </c>
      <c r="I113">
        <f>IF(H113="","",$F$1*H113^3+$F$2*H113^2+$F$3*H113+$G$1)</f>
        <v/>
      </c>
    </row>
    <row r="114">
      <c r="H114">
        <f>IF(OR(COUNT($A$3:$A$6)&lt;4,NOT(ISNUMBER($G$2))),"",$G$2+(ROW()-3)*$G$3)</f>
        <v/>
      </c>
      <c r="I114">
        <f>IF(H114="","",$F$1*H114^3+$F$2*H114^2+$F$3*H114+$G$1)</f>
        <v/>
      </c>
    </row>
    <row r="115">
      <c r="H115">
        <f>IF(OR(COUNT($A$3:$A$6)&lt;4,NOT(ISNUMBER($G$2))),"",$G$2+(ROW()-3)*$G$3)</f>
        <v/>
      </c>
      <c r="I115">
        <f>IF(H115="","",$F$1*H115^3+$F$2*H115^2+$F$3*H115+$G$1)</f>
        <v/>
      </c>
    </row>
    <row r="116">
      <c r="H116">
        <f>IF(OR(COUNT($A$3:$A$6)&lt;4,NOT(ISNUMBER($G$2))),"",$G$2+(ROW()-3)*$G$3)</f>
        <v/>
      </c>
      <c r="I116">
        <f>IF(H116="","",$F$1*H116^3+$F$2*H116^2+$F$3*H116+$G$1)</f>
        <v/>
      </c>
    </row>
    <row r="117">
      <c r="H117">
        <f>IF(OR(COUNT($A$3:$A$6)&lt;4,NOT(ISNUMBER($G$2))),"",$G$2+(ROW()-3)*$G$3)</f>
        <v/>
      </c>
      <c r="I117">
        <f>IF(H117="","",$F$1*H117^3+$F$2*H117^2+$F$3*H117+$G$1)</f>
        <v/>
      </c>
    </row>
    <row r="118">
      <c r="H118">
        <f>IF(OR(COUNT($A$3:$A$6)&lt;4,NOT(ISNUMBER($G$2))),"",$G$2+(ROW()-3)*$G$3)</f>
        <v/>
      </c>
      <c r="I118">
        <f>IF(H118="","",$F$1*H118^3+$F$2*H118^2+$F$3*H118+$G$1)</f>
        <v/>
      </c>
    </row>
    <row r="119">
      <c r="H119">
        <f>IF(OR(COUNT($A$3:$A$6)&lt;4,NOT(ISNUMBER($G$2))),"",$G$2+(ROW()-3)*$G$3)</f>
        <v/>
      </c>
      <c r="I119">
        <f>IF(H119="","",$F$1*H119^3+$F$2*H119^2+$F$3*H119+$G$1)</f>
        <v/>
      </c>
    </row>
    <row r="120">
      <c r="H120">
        <f>IF(OR(COUNT($A$3:$A$6)&lt;4,NOT(ISNUMBER($G$2))),"",$G$2+(ROW()-3)*$G$3)</f>
        <v/>
      </c>
      <c r="I120">
        <f>IF(H120="","",$F$1*H120^3+$F$2*H120^2+$F$3*H120+$G$1)</f>
        <v/>
      </c>
    </row>
    <row r="121">
      <c r="H121">
        <f>IF(OR(COUNT($A$3:$A$6)&lt;4,NOT(ISNUMBER($G$2))),"",$G$2+(ROW()-3)*$G$3)</f>
        <v/>
      </c>
      <c r="I121">
        <f>IF(H121="","",$F$1*H121^3+$F$2*H121^2+$F$3*H121+$G$1)</f>
        <v/>
      </c>
    </row>
    <row r="122">
      <c r="H122">
        <f>IF(OR(COUNT($A$3:$A$6)&lt;4,NOT(ISNUMBER($G$2))),"",$G$2+(ROW()-3)*$G$3)</f>
        <v/>
      </c>
      <c r="I122">
        <f>IF(H122="","",$F$1*H122^3+$F$2*H122^2+$F$3*H122+$G$1)</f>
        <v/>
      </c>
    </row>
    <row r="123">
      <c r="H123">
        <f>IF(OR(COUNT($A$3:$A$6)&lt;4,NOT(ISNUMBER($G$2))),"",$G$2+(ROW()-3)*$G$3)</f>
        <v/>
      </c>
      <c r="I123">
        <f>IF(H123="","",$F$1*H123^3+$F$2*H123^2+$F$3*H123+$G$1)</f>
        <v/>
      </c>
    </row>
    <row r="124">
      <c r="H124">
        <f>IF(OR(COUNT($A$3:$A$6)&lt;4,NOT(ISNUMBER($G$2))),"",$G$2+(ROW()-3)*$G$3)</f>
        <v/>
      </c>
      <c r="I124">
        <f>IF(H124="","",$F$1*H124^3+$F$2*H124^2+$F$3*H124+$G$1)</f>
        <v/>
      </c>
    </row>
    <row r="125">
      <c r="H125">
        <f>IF(OR(COUNT($A$3:$A$6)&lt;4,NOT(ISNUMBER($G$2))),"",$G$2+(ROW()-3)*$G$3)</f>
        <v/>
      </c>
      <c r="I125">
        <f>IF(H125="","",$F$1*H125^3+$F$2*H125^2+$F$3*H125+$G$1)</f>
        <v/>
      </c>
    </row>
    <row r="126">
      <c r="H126">
        <f>IF(OR(COUNT($A$3:$A$6)&lt;4,NOT(ISNUMBER($G$2))),"",$G$2+(ROW()-3)*$G$3)</f>
        <v/>
      </c>
      <c r="I126">
        <f>IF(H126="","",$F$1*H126^3+$F$2*H126^2+$F$3*H126+$G$1)</f>
        <v/>
      </c>
    </row>
    <row r="127">
      <c r="H127">
        <f>IF(OR(COUNT($A$3:$A$6)&lt;4,NOT(ISNUMBER($G$2))),"",$G$2+(ROW()-3)*$G$3)</f>
        <v/>
      </c>
      <c r="I127">
        <f>IF(H127="","",$F$1*H127^3+$F$2*H127^2+$F$3*H127+$G$1)</f>
        <v/>
      </c>
    </row>
    <row r="128">
      <c r="H128">
        <f>IF(OR(COUNT($A$3:$A$6)&lt;4,NOT(ISNUMBER($G$2))),"",$G$2+(ROW()-3)*$G$3)</f>
        <v/>
      </c>
      <c r="I128">
        <f>IF(H128="","",$F$1*H128^3+$F$2*H128^2+$F$3*H128+$G$1)</f>
        <v/>
      </c>
    </row>
    <row r="129">
      <c r="H129">
        <f>IF(OR(COUNT($A$3:$A$6)&lt;4,NOT(ISNUMBER($G$2))),"",$G$2+(ROW()-3)*$G$3)</f>
        <v/>
      </c>
      <c r="I129">
        <f>IF(H129="","",$F$1*H129^3+$F$2*H129^2+$F$3*H129+$G$1)</f>
        <v/>
      </c>
    </row>
    <row r="130">
      <c r="H130">
        <f>IF(OR(COUNT($A$3:$A$6)&lt;4,NOT(ISNUMBER($G$2))),"",$G$2+(ROW()-3)*$G$3)</f>
        <v/>
      </c>
      <c r="I130">
        <f>IF(H130="","",$F$1*H130^3+$F$2*H130^2+$F$3*H130+$G$1)</f>
        <v/>
      </c>
    </row>
    <row r="131">
      <c r="H131">
        <f>IF(OR(COUNT($A$3:$A$6)&lt;4,NOT(ISNUMBER($G$2))),"",$G$2+(ROW()-3)*$G$3)</f>
        <v/>
      </c>
      <c r="I131">
        <f>IF(H131="","",$F$1*H131^3+$F$2*H131^2+$F$3*H131+$G$1)</f>
        <v/>
      </c>
    </row>
    <row r="132">
      <c r="H132">
        <f>IF(OR(COUNT($A$3:$A$6)&lt;4,NOT(ISNUMBER($G$2))),"",$G$2+(ROW()-3)*$G$3)</f>
        <v/>
      </c>
      <c r="I132">
        <f>IF(H132="","",$F$1*H132^3+$F$2*H132^2+$F$3*H132+$G$1)</f>
        <v/>
      </c>
    </row>
    <row r="133">
      <c r="H133">
        <f>IF(OR(COUNT($A$3:$A$6)&lt;4,NOT(ISNUMBER($G$2))),"",$G$2+(ROW()-3)*$G$3)</f>
        <v/>
      </c>
      <c r="I133">
        <f>IF(H133="","",$F$1*H133^3+$F$2*H133^2+$F$3*H133+$G$1)</f>
        <v/>
      </c>
    </row>
    <row r="134">
      <c r="H134">
        <f>IF(OR(COUNT($A$3:$A$6)&lt;4,NOT(ISNUMBER($G$2))),"",$G$2+(ROW()-3)*$G$3)</f>
        <v/>
      </c>
      <c r="I134">
        <f>IF(H134="","",$F$1*H134^3+$F$2*H134^2+$F$3*H134+$G$1)</f>
        <v/>
      </c>
    </row>
    <row r="135">
      <c r="H135">
        <f>IF(OR(COUNT($A$3:$A$6)&lt;4,NOT(ISNUMBER($G$2))),"",$G$2+(ROW()-3)*$G$3)</f>
        <v/>
      </c>
      <c r="I135">
        <f>IF(H135="","",$F$1*H135^3+$F$2*H135^2+$F$3*H135+$G$1)</f>
        <v/>
      </c>
    </row>
    <row r="136">
      <c r="H136">
        <f>IF(OR(COUNT($A$3:$A$6)&lt;4,NOT(ISNUMBER($G$2))),"",$G$2+(ROW()-3)*$G$3)</f>
        <v/>
      </c>
      <c r="I136">
        <f>IF(H136="","",$F$1*H136^3+$F$2*H136^2+$F$3*H136+$G$1)</f>
        <v/>
      </c>
    </row>
    <row r="137">
      <c r="H137">
        <f>IF(OR(COUNT($A$3:$A$6)&lt;4,NOT(ISNUMBER($G$2))),"",$G$2+(ROW()-3)*$G$3)</f>
        <v/>
      </c>
      <c r="I137">
        <f>IF(H137="","",$F$1*H137^3+$F$2*H137^2+$F$3*H137+$G$1)</f>
        <v/>
      </c>
    </row>
    <row r="138">
      <c r="H138">
        <f>IF(OR(COUNT($A$3:$A$6)&lt;4,NOT(ISNUMBER($G$2))),"",$G$2+(ROW()-3)*$G$3)</f>
        <v/>
      </c>
      <c r="I138">
        <f>IF(H138="","",$F$1*H138^3+$F$2*H138^2+$F$3*H138+$G$1)</f>
        <v/>
      </c>
    </row>
    <row r="139">
      <c r="H139">
        <f>IF(OR(COUNT($A$3:$A$6)&lt;4,NOT(ISNUMBER($G$2))),"",$G$2+(ROW()-3)*$G$3)</f>
        <v/>
      </c>
      <c r="I139">
        <f>IF(H139="","",$F$1*H139^3+$F$2*H139^2+$F$3*H139+$G$1)</f>
        <v/>
      </c>
    </row>
    <row r="140">
      <c r="H140">
        <f>IF(OR(COUNT($A$3:$A$6)&lt;4,NOT(ISNUMBER($G$2))),"",$G$2+(ROW()-3)*$G$3)</f>
        <v/>
      </c>
      <c r="I140">
        <f>IF(H140="","",$F$1*H140^3+$F$2*H140^2+$F$3*H140+$G$1)</f>
        <v/>
      </c>
    </row>
    <row r="141">
      <c r="H141">
        <f>IF(OR(COUNT($A$3:$A$6)&lt;4,NOT(ISNUMBER($G$2))),"",$G$2+(ROW()-3)*$G$3)</f>
        <v/>
      </c>
      <c r="I141">
        <f>IF(H141="","",$F$1*H141^3+$F$2*H141^2+$F$3*H141+$G$1)</f>
        <v/>
      </c>
    </row>
    <row r="142">
      <c r="H142">
        <f>IF(OR(COUNT($A$3:$A$6)&lt;4,NOT(ISNUMBER($G$2))),"",$G$2+(ROW()-3)*$G$3)</f>
        <v/>
      </c>
      <c r="I142">
        <f>IF(H142="","",$F$1*H142^3+$F$2*H142^2+$F$3*H142+$G$1)</f>
        <v/>
      </c>
    </row>
    <row r="143">
      <c r="H143">
        <f>IF(OR(COUNT($A$3:$A$6)&lt;4,NOT(ISNUMBER($G$2))),"",$G$2+(ROW()-3)*$G$3)</f>
        <v/>
      </c>
      <c r="I143">
        <f>IF(H143="","",$F$1*H143^3+$F$2*H143^2+$F$3*H143+$G$1)</f>
        <v/>
      </c>
    </row>
    <row r="144">
      <c r="H144">
        <f>IF(OR(COUNT($A$3:$A$6)&lt;4,NOT(ISNUMBER($G$2))),"",$G$2+(ROW()-3)*$G$3)</f>
        <v/>
      </c>
      <c r="I144">
        <f>IF(H144="","",$F$1*H144^3+$F$2*H144^2+$F$3*H144+$G$1)</f>
        <v/>
      </c>
    </row>
    <row r="145">
      <c r="H145">
        <f>IF(OR(COUNT($A$3:$A$6)&lt;4,NOT(ISNUMBER($G$2))),"",$G$2+(ROW()-3)*$G$3)</f>
        <v/>
      </c>
      <c r="I145">
        <f>IF(H145="","",$F$1*H145^3+$F$2*H145^2+$F$3*H145+$G$1)</f>
        <v/>
      </c>
    </row>
    <row r="146">
      <c r="H146">
        <f>IF(OR(COUNT($A$3:$A$6)&lt;4,NOT(ISNUMBER($G$2))),"",$G$2+(ROW()-3)*$G$3)</f>
        <v/>
      </c>
      <c r="I146">
        <f>IF(H146="","",$F$1*H146^3+$F$2*H146^2+$F$3*H146+$G$1)</f>
        <v/>
      </c>
    </row>
    <row r="147">
      <c r="H147">
        <f>IF(OR(COUNT($A$3:$A$6)&lt;4,NOT(ISNUMBER($G$2))),"",$G$2+(ROW()-3)*$G$3)</f>
        <v/>
      </c>
      <c r="I147">
        <f>IF(H147="","",$F$1*H147^3+$F$2*H147^2+$F$3*H147+$G$1)</f>
        <v/>
      </c>
    </row>
    <row r="148">
      <c r="H148">
        <f>IF(OR(COUNT($A$3:$A$6)&lt;4,NOT(ISNUMBER($G$2))),"",$G$2+(ROW()-3)*$G$3)</f>
        <v/>
      </c>
      <c r="I148">
        <f>IF(H148="","",$F$1*H148^3+$F$2*H148^2+$F$3*H148+$G$1)</f>
        <v/>
      </c>
    </row>
    <row r="149">
      <c r="H149">
        <f>IF(OR(COUNT($A$3:$A$6)&lt;4,NOT(ISNUMBER($G$2))),"",$G$2+(ROW()-3)*$G$3)</f>
        <v/>
      </c>
      <c r="I149">
        <f>IF(H149="","",$F$1*H149^3+$F$2*H149^2+$F$3*H149+$G$1)</f>
        <v/>
      </c>
    </row>
    <row r="150">
      <c r="H150">
        <f>IF(OR(COUNT($A$3:$A$6)&lt;4,NOT(ISNUMBER($G$2))),"",$G$2+(ROW()-3)*$G$3)</f>
        <v/>
      </c>
      <c r="I150">
        <f>IF(H150="","",$F$1*H150^3+$F$2*H150^2+$F$3*H150+$G$1)</f>
        <v/>
      </c>
    </row>
    <row r="151">
      <c r="H151">
        <f>IF(OR(COUNT($A$3:$A$6)&lt;4,NOT(ISNUMBER($G$2))),"",$G$2+(ROW()-3)*$G$3)</f>
        <v/>
      </c>
      <c r="I151">
        <f>IF(H151="","",$F$1*H151^3+$F$2*H151^2+$F$3*H151+$G$1)</f>
        <v/>
      </c>
    </row>
    <row r="152">
      <c r="H152">
        <f>IF(OR(COUNT($A$3:$A$6)&lt;4,NOT(ISNUMBER($G$2))),"",$G$2+(ROW()-3)*$G$3)</f>
        <v/>
      </c>
      <c r="I152">
        <f>IF(H152="","",$F$1*H152^3+$F$2*H152^2+$F$3*H152+$G$1)</f>
        <v/>
      </c>
    </row>
    <row r="153">
      <c r="H153">
        <f>IF(OR(COUNT($A$3:$A$6)&lt;4,NOT(ISNUMBER($G$2))),"",$G$2+(ROW()-3)*$G$3)</f>
        <v/>
      </c>
      <c r="I153">
        <f>IF(H153="","",$F$1*H153^3+$F$2*H153^2+$F$3*H153+$G$1)</f>
        <v/>
      </c>
    </row>
    <row r="154">
      <c r="H154">
        <f>IF(OR(COUNT($A$3:$A$6)&lt;4,NOT(ISNUMBER($G$2))),"",$G$2+(ROW()-3)*$G$3)</f>
        <v/>
      </c>
      <c r="I154">
        <f>IF(H154="","",$F$1*H154^3+$F$2*H154^2+$F$3*H154+$G$1)</f>
        <v/>
      </c>
    </row>
    <row r="155">
      <c r="H155">
        <f>IF(OR(COUNT($A$3:$A$6)&lt;4,NOT(ISNUMBER($G$2))),"",$G$2+(ROW()-3)*$G$3)</f>
        <v/>
      </c>
      <c r="I155">
        <f>IF(H155="","",$F$1*H155^3+$F$2*H155^2+$F$3*H155+$G$1)</f>
        <v/>
      </c>
    </row>
    <row r="156">
      <c r="H156">
        <f>IF(OR(COUNT($A$3:$A$6)&lt;4,NOT(ISNUMBER($G$2))),"",$G$2+(ROW()-3)*$G$3)</f>
        <v/>
      </c>
      <c r="I156">
        <f>IF(H156="","",$F$1*H156^3+$F$2*H156^2+$F$3*H156+$G$1)</f>
        <v/>
      </c>
    </row>
    <row r="157">
      <c r="H157">
        <f>IF(OR(COUNT($A$3:$A$6)&lt;4,NOT(ISNUMBER($G$2))),"",$G$2+(ROW()-3)*$G$3)</f>
        <v/>
      </c>
      <c r="I157">
        <f>IF(H157="","",$F$1*H157^3+$F$2*H157^2+$F$3*H157+$G$1)</f>
        <v/>
      </c>
    </row>
    <row r="158">
      <c r="H158">
        <f>IF(OR(COUNT($A$3:$A$6)&lt;4,NOT(ISNUMBER($G$2))),"",$G$2+(ROW()-3)*$G$3)</f>
        <v/>
      </c>
      <c r="I158">
        <f>IF(H158="","",$F$1*H158^3+$F$2*H158^2+$F$3*H158+$G$1)</f>
        <v/>
      </c>
    </row>
    <row r="159">
      <c r="H159">
        <f>IF(OR(COUNT($A$3:$A$6)&lt;4,NOT(ISNUMBER($G$2))),"",$G$2+(ROW()-3)*$G$3)</f>
        <v/>
      </c>
      <c r="I159">
        <f>IF(H159="","",$F$1*H159^3+$F$2*H159^2+$F$3*H159+$G$1)</f>
        <v/>
      </c>
    </row>
    <row r="160">
      <c r="H160">
        <f>IF(OR(COUNT($A$3:$A$6)&lt;4,NOT(ISNUMBER($G$2))),"",$G$2+(ROW()-3)*$G$3)</f>
        <v/>
      </c>
      <c r="I160">
        <f>IF(H160="","",$F$1*H160^3+$F$2*H160^2+$F$3*H160+$G$1)</f>
        <v/>
      </c>
    </row>
    <row r="161">
      <c r="H161">
        <f>IF(OR(COUNT($A$3:$A$6)&lt;4,NOT(ISNUMBER($G$2))),"",$G$2+(ROW()-3)*$G$3)</f>
        <v/>
      </c>
      <c r="I161">
        <f>IF(H161="","",$F$1*H161^3+$F$2*H161^2+$F$3*H161+$G$1)</f>
        <v/>
      </c>
    </row>
    <row r="162">
      <c r="H162">
        <f>IF(OR(COUNT($A$3:$A$6)&lt;4,NOT(ISNUMBER($G$2))),"",$G$2+(ROW()-3)*$G$3)</f>
        <v/>
      </c>
      <c r="I162">
        <f>IF(H162="","",$F$1*H162^3+$F$2*H162^2+$F$3*H162+$G$1)</f>
        <v/>
      </c>
    </row>
    <row r="163">
      <c r="H163">
        <f>IF(OR(COUNT($A$3:$A$6)&lt;4,NOT(ISNUMBER($G$2))),"",$G$2+(ROW()-3)*$G$3)</f>
        <v/>
      </c>
      <c r="I163">
        <f>IF(H163="","",$F$1*H163^3+$F$2*H163^2+$F$3*H163+$G$1)</f>
        <v/>
      </c>
    </row>
    <row r="164">
      <c r="H164">
        <f>IF(OR(COUNT($A$3:$A$6)&lt;4,NOT(ISNUMBER($G$2))),"",$G$2+(ROW()-3)*$G$3)</f>
        <v/>
      </c>
      <c r="I164">
        <f>IF(H164="","",$F$1*H164^3+$F$2*H164^2+$F$3*H164+$G$1)</f>
        <v/>
      </c>
    </row>
    <row r="165">
      <c r="H165">
        <f>IF(OR(COUNT($A$3:$A$6)&lt;4,NOT(ISNUMBER($G$2))),"",$G$2+(ROW()-3)*$G$3)</f>
        <v/>
      </c>
      <c r="I165">
        <f>IF(H165="","",$F$1*H165^3+$F$2*H165^2+$F$3*H165+$G$1)</f>
        <v/>
      </c>
    </row>
    <row r="166">
      <c r="H166">
        <f>IF(OR(COUNT($A$3:$A$6)&lt;4,NOT(ISNUMBER($G$2))),"",$G$2+(ROW()-3)*$G$3)</f>
        <v/>
      </c>
      <c r="I166">
        <f>IF(H166="","",$F$1*H166^3+$F$2*H166^2+$F$3*H166+$G$1)</f>
        <v/>
      </c>
    </row>
    <row r="167">
      <c r="H167">
        <f>IF(OR(COUNT($A$3:$A$6)&lt;4,NOT(ISNUMBER($G$2))),"",$G$2+(ROW()-3)*$G$3)</f>
        <v/>
      </c>
      <c r="I167">
        <f>IF(H167="","",$F$1*H167^3+$F$2*H167^2+$F$3*H167+$G$1)</f>
        <v/>
      </c>
    </row>
    <row r="168">
      <c r="H168">
        <f>IF(OR(COUNT($A$3:$A$6)&lt;4,NOT(ISNUMBER($G$2))),"",$G$2+(ROW()-3)*$G$3)</f>
        <v/>
      </c>
      <c r="I168">
        <f>IF(H168="","",$F$1*H168^3+$F$2*H168^2+$F$3*H168+$G$1)</f>
        <v/>
      </c>
    </row>
    <row r="169">
      <c r="H169">
        <f>IF(OR(COUNT($A$3:$A$6)&lt;4,NOT(ISNUMBER($G$2))),"",$G$2+(ROW()-3)*$G$3)</f>
        <v/>
      </c>
      <c r="I169">
        <f>IF(H169="","",$F$1*H169^3+$F$2*H169^2+$F$3*H169+$G$1)</f>
        <v/>
      </c>
    </row>
    <row r="170">
      <c r="H170">
        <f>IF(OR(COUNT($A$3:$A$6)&lt;4,NOT(ISNUMBER($G$2))),"",$G$2+(ROW()-3)*$G$3)</f>
        <v/>
      </c>
      <c r="I170">
        <f>IF(H170="","",$F$1*H170^3+$F$2*H170^2+$F$3*H170+$G$1)</f>
        <v/>
      </c>
    </row>
    <row r="171">
      <c r="H171">
        <f>IF(OR(COUNT($A$3:$A$6)&lt;4,NOT(ISNUMBER($G$2))),"",$G$2+(ROW()-3)*$G$3)</f>
        <v/>
      </c>
      <c r="I171">
        <f>IF(H171="","",$F$1*H171^3+$F$2*H171^2+$F$3*H171+$G$1)</f>
        <v/>
      </c>
    </row>
    <row r="172">
      <c r="H172">
        <f>IF(OR(COUNT($A$3:$A$6)&lt;4,NOT(ISNUMBER($G$2))),"",$G$2+(ROW()-3)*$G$3)</f>
        <v/>
      </c>
      <c r="I172">
        <f>IF(H172="","",$F$1*H172^3+$F$2*H172^2+$F$3*H172+$G$1)</f>
        <v/>
      </c>
    </row>
    <row r="173">
      <c r="H173">
        <f>IF(OR(COUNT($A$3:$A$6)&lt;4,NOT(ISNUMBER($G$2))),"",$G$2+(ROW()-3)*$G$3)</f>
        <v/>
      </c>
      <c r="I173">
        <f>IF(H173="","",$F$1*H173^3+$F$2*H173^2+$F$3*H173+$G$1)</f>
        <v/>
      </c>
    </row>
    <row r="174">
      <c r="H174">
        <f>IF(OR(COUNT($A$3:$A$6)&lt;4,NOT(ISNUMBER($G$2))),"",$G$2+(ROW()-3)*$G$3)</f>
        <v/>
      </c>
      <c r="I174">
        <f>IF(H174="","",$F$1*H174^3+$F$2*H174^2+$F$3*H174+$G$1)</f>
        <v/>
      </c>
    </row>
    <row r="175">
      <c r="H175">
        <f>IF(OR(COUNT($A$3:$A$6)&lt;4,NOT(ISNUMBER($G$2))),"",$G$2+(ROW()-3)*$G$3)</f>
        <v/>
      </c>
      <c r="I175">
        <f>IF(H175="","",$F$1*H175^3+$F$2*H175^2+$F$3*H175+$G$1)</f>
        <v/>
      </c>
    </row>
    <row r="176">
      <c r="H176">
        <f>IF(OR(COUNT($A$3:$A$6)&lt;4,NOT(ISNUMBER($G$2))),"",$G$2+(ROW()-3)*$G$3)</f>
        <v/>
      </c>
      <c r="I176">
        <f>IF(H176="","",$F$1*H176^3+$F$2*H176^2+$F$3*H176+$G$1)</f>
        <v/>
      </c>
    </row>
    <row r="177">
      <c r="H177">
        <f>IF(OR(COUNT($A$3:$A$6)&lt;4,NOT(ISNUMBER($G$2))),"",$G$2+(ROW()-3)*$G$3)</f>
        <v/>
      </c>
      <c r="I177">
        <f>IF(H177="","",$F$1*H177^3+$F$2*H177^2+$F$3*H177+$G$1)</f>
        <v/>
      </c>
    </row>
    <row r="178">
      <c r="H178">
        <f>IF(OR(COUNT($A$3:$A$6)&lt;4,NOT(ISNUMBER($G$2))),"",$G$2+(ROW()-3)*$G$3)</f>
        <v/>
      </c>
      <c r="I178">
        <f>IF(H178="","",$F$1*H178^3+$F$2*H178^2+$F$3*H178+$G$1)</f>
        <v/>
      </c>
    </row>
    <row r="179">
      <c r="H179">
        <f>IF(OR(COUNT($A$3:$A$6)&lt;4,NOT(ISNUMBER($G$2))),"",$G$2+(ROW()-3)*$G$3)</f>
        <v/>
      </c>
      <c r="I179">
        <f>IF(H179="","",$F$1*H179^3+$F$2*H179^2+$F$3*H179+$G$1)</f>
        <v/>
      </c>
    </row>
    <row r="180">
      <c r="H180">
        <f>IF(OR(COUNT($A$3:$A$6)&lt;4,NOT(ISNUMBER($G$2))),"",$G$2+(ROW()-3)*$G$3)</f>
        <v/>
      </c>
      <c r="I180">
        <f>IF(H180="","",$F$1*H180^3+$F$2*H180^2+$F$3*H180+$G$1)</f>
        <v/>
      </c>
    </row>
    <row r="181">
      <c r="H181">
        <f>IF(OR(COUNT($A$3:$A$6)&lt;4,NOT(ISNUMBER($G$2))),"",$G$2+(ROW()-3)*$G$3)</f>
        <v/>
      </c>
      <c r="I181">
        <f>IF(H181="","",$F$1*H181^3+$F$2*H181^2+$F$3*H181+$G$1)</f>
        <v/>
      </c>
    </row>
    <row r="182">
      <c r="H182">
        <f>IF(OR(COUNT($A$3:$A$6)&lt;4,NOT(ISNUMBER($G$2))),"",$G$2+(ROW()-3)*$G$3)</f>
        <v/>
      </c>
      <c r="I182">
        <f>IF(H182="","",$F$1*H182^3+$F$2*H182^2+$F$3*H182+$G$1)</f>
        <v/>
      </c>
    </row>
    <row r="183">
      <c r="H183">
        <f>IF(OR(COUNT($A$3:$A$6)&lt;4,NOT(ISNUMBER($G$2))),"",$G$2+(ROW()-3)*$G$3)</f>
        <v/>
      </c>
      <c r="I183">
        <f>IF(H183="","",$F$1*H183^3+$F$2*H183^2+$F$3*H183+$G$1)</f>
        <v/>
      </c>
    </row>
    <row r="184">
      <c r="H184">
        <f>IF(OR(COUNT($A$3:$A$6)&lt;4,NOT(ISNUMBER($G$2))),"",$G$2+(ROW()-3)*$G$3)</f>
        <v/>
      </c>
      <c r="I184">
        <f>IF(H184="","",$F$1*H184^3+$F$2*H184^2+$F$3*H184+$G$1)</f>
        <v/>
      </c>
    </row>
    <row r="185">
      <c r="H185">
        <f>IF(OR(COUNT($A$3:$A$6)&lt;4,NOT(ISNUMBER($G$2))),"",$G$2+(ROW()-3)*$G$3)</f>
        <v/>
      </c>
      <c r="I185">
        <f>IF(H185="","",$F$1*H185^3+$F$2*H185^2+$F$3*H185+$G$1)</f>
        <v/>
      </c>
    </row>
    <row r="186">
      <c r="H186">
        <f>IF(OR(COUNT($A$3:$A$6)&lt;4,NOT(ISNUMBER($G$2))),"",$G$2+(ROW()-3)*$G$3)</f>
        <v/>
      </c>
      <c r="I186">
        <f>IF(H186="","",$F$1*H186^3+$F$2*H186^2+$F$3*H186+$G$1)</f>
        <v/>
      </c>
    </row>
    <row r="187">
      <c r="H187">
        <f>IF(OR(COUNT($A$3:$A$6)&lt;4,NOT(ISNUMBER($G$2))),"",$G$2+(ROW()-3)*$G$3)</f>
        <v/>
      </c>
      <c r="I187">
        <f>IF(H187="","",$F$1*H187^3+$F$2*H187^2+$F$3*H187+$G$1)</f>
        <v/>
      </c>
    </row>
    <row r="188">
      <c r="H188">
        <f>IF(OR(COUNT($A$3:$A$6)&lt;4,NOT(ISNUMBER($G$2))),"",$G$2+(ROW()-3)*$G$3)</f>
        <v/>
      </c>
      <c r="I188">
        <f>IF(H188="","",$F$1*H188^3+$F$2*H188^2+$F$3*H188+$G$1)</f>
        <v/>
      </c>
    </row>
    <row r="189">
      <c r="H189">
        <f>IF(OR(COUNT($A$3:$A$6)&lt;4,NOT(ISNUMBER($G$2))),"",$G$2+(ROW()-3)*$G$3)</f>
        <v/>
      </c>
      <c r="I189">
        <f>IF(H189="","",$F$1*H189^3+$F$2*H189^2+$F$3*H189+$G$1)</f>
        <v/>
      </c>
    </row>
    <row r="190">
      <c r="H190">
        <f>IF(OR(COUNT($A$3:$A$6)&lt;4,NOT(ISNUMBER($G$2))),"",$G$2+(ROW()-3)*$G$3)</f>
        <v/>
      </c>
      <c r="I190">
        <f>IF(H190="","",$F$1*H190^3+$F$2*H190^2+$F$3*H190+$G$1)</f>
        <v/>
      </c>
    </row>
    <row r="191">
      <c r="H191">
        <f>IF(OR(COUNT($A$3:$A$6)&lt;4,NOT(ISNUMBER($G$2))),"",$G$2+(ROW()-3)*$G$3)</f>
        <v/>
      </c>
      <c r="I191">
        <f>IF(H191="","",$F$1*H191^3+$F$2*H191^2+$F$3*H191+$G$1)</f>
        <v/>
      </c>
    </row>
    <row r="192">
      <c r="H192">
        <f>IF(OR(COUNT($A$3:$A$6)&lt;4,NOT(ISNUMBER($G$2))),"",$G$2+(ROW()-3)*$G$3)</f>
        <v/>
      </c>
      <c r="I192">
        <f>IF(H192="","",$F$1*H192^3+$F$2*H192^2+$F$3*H192+$G$1)</f>
        <v/>
      </c>
    </row>
    <row r="193">
      <c r="H193">
        <f>IF(OR(COUNT($A$3:$A$6)&lt;4,NOT(ISNUMBER($G$2))),"",$G$2+(ROW()-3)*$G$3)</f>
        <v/>
      </c>
      <c r="I193">
        <f>IF(H193="","",$F$1*H193^3+$F$2*H193^2+$F$3*H193+$G$1)</f>
        <v/>
      </c>
    </row>
    <row r="194">
      <c r="H194">
        <f>IF(OR(COUNT($A$3:$A$6)&lt;4,NOT(ISNUMBER($G$2))),"",$G$2+(ROW()-3)*$G$3)</f>
        <v/>
      </c>
      <c r="I194">
        <f>IF(H194="","",$F$1*H194^3+$F$2*H194^2+$F$3*H194+$G$1)</f>
        <v/>
      </c>
    </row>
    <row r="195">
      <c r="H195">
        <f>IF(OR(COUNT($A$3:$A$6)&lt;4,NOT(ISNUMBER($G$2))),"",$G$2+(ROW()-3)*$G$3)</f>
        <v/>
      </c>
      <c r="I195">
        <f>IF(H195="","",$F$1*H195^3+$F$2*H195^2+$F$3*H195+$G$1)</f>
        <v/>
      </c>
    </row>
    <row r="196">
      <c r="H196">
        <f>IF(OR(COUNT($A$3:$A$6)&lt;4,NOT(ISNUMBER($G$2))),"",$G$2+(ROW()-3)*$G$3)</f>
        <v/>
      </c>
      <c r="I196">
        <f>IF(H196="","",$F$1*H196^3+$F$2*H196^2+$F$3*H196+$G$1)</f>
        <v/>
      </c>
    </row>
    <row r="197">
      <c r="H197">
        <f>IF(OR(COUNT($A$3:$A$6)&lt;4,NOT(ISNUMBER($G$2))),"",$G$2+(ROW()-3)*$G$3)</f>
        <v/>
      </c>
      <c r="I197">
        <f>IF(H197="","",$F$1*H197^3+$F$2*H197^2+$F$3*H197+$G$1)</f>
        <v/>
      </c>
    </row>
    <row r="198">
      <c r="H198">
        <f>IF(OR(COUNT($A$3:$A$6)&lt;4,NOT(ISNUMBER($G$2))),"",$G$2+(ROW()-3)*$G$3)</f>
        <v/>
      </c>
      <c r="I198">
        <f>IF(H198="","",$F$1*H198^3+$F$2*H198^2+$F$3*H198+$G$1)</f>
        <v/>
      </c>
    </row>
    <row r="199">
      <c r="H199">
        <f>IF(OR(COUNT($A$3:$A$6)&lt;4,NOT(ISNUMBER($G$2))),"",$G$2+(ROW()-3)*$G$3)</f>
        <v/>
      </c>
      <c r="I199">
        <f>IF(H199="","",$F$1*H199^3+$F$2*H199^2+$F$3*H199+$G$1)</f>
        <v/>
      </c>
    </row>
    <row r="200">
      <c r="H200">
        <f>IF(OR(COUNT($A$3:$A$6)&lt;4,NOT(ISNUMBER($G$2))),"",$G$2+(ROW()-3)*$G$3)</f>
        <v/>
      </c>
      <c r="I200">
        <f>IF(H200="","",$F$1*H200^3+$F$2*H200^2+$F$3*H200+$G$1)</f>
        <v/>
      </c>
    </row>
    <row r="201">
      <c r="H201">
        <f>IF(OR(COUNT($A$3:$A$6)&lt;4,NOT(ISNUMBER($G$2))),"",$G$2+(ROW()-3)*$G$3)</f>
        <v/>
      </c>
      <c r="I201">
        <f>IF(H201="","",$F$1*H201^3+$F$2*H201^2+$F$3*H201+$G$1)</f>
        <v/>
      </c>
    </row>
    <row r="202">
      <c r="H202">
        <f>IF(OR(COUNT($A$3:$A$6)&lt;4,NOT(ISNUMBER($G$2))),"",$G$2+(ROW()-3)*$G$3)</f>
        <v/>
      </c>
      <c r="I202">
        <f>IF(H202="","",$F$1*H202^3+$F$2*H202^2+$F$3*H202+$G$1)</f>
        <v/>
      </c>
    </row>
    <row r="203">
      <c r="H203">
        <f>IF(OR(COUNT($A$3:$A$6)&lt;4,NOT(ISNUMBER($G$2))),"",$G$2+(ROW()-3)*$G$3)</f>
        <v/>
      </c>
      <c r="I203">
        <f>IF(H203="","",$F$1*H203^3+$F$2*H203^2+$F$3*H203+$G$1)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4A3B8"/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tipo</t>
        </is>
      </c>
      <c r="D1" t="inlineStr">
        <is>
          <t>ancla</t>
        </is>
      </c>
      <c r="E1" t="inlineStr">
        <is>
          <t>ancho_px</t>
        </is>
      </c>
      <c r="F1" t="inlineStr">
        <is>
          <t>alto_px</t>
        </is>
      </c>
      <c r="G1" t="inlineStr">
        <is>
          <t>x_log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titulo_x</t>
        </is>
      </c>
      <c r="M1" t="inlineStr">
        <is>
          <t>titulo_y</t>
        </is>
      </c>
      <c r="N1" t="inlineStr">
        <is>
          <t>serie</t>
        </is>
      </c>
      <c r="O1" t="inlineStr">
        <is>
          <t>estilo</t>
        </is>
      </c>
      <c r="P1" t="inlineStr">
        <is>
          <t>rango_x</t>
        </is>
      </c>
      <c r="Q1" t="inlineStr">
        <is>
          <t>rango_y</t>
        </is>
      </c>
      <c r="R1" t="inlineStr">
        <is>
          <t>color</t>
        </is>
      </c>
      <c r="S1" t="inlineStr">
        <is>
          <t>orden</t>
        </is>
      </c>
    </row>
    <row r="2">
      <c r="A2" t="inlineStr">
        <is>
          <t>curva_compactacion</t>
        </is>
      </c>
      <c r="B2" t="inlineStr">
        <is>
          <t>Curva de Compactación Proctor Modificado</t>
        </is>
      </c>
      <c r="C2" t="inlineStr">
        <is>
          <t>xy</t>
        </is>
      </c>
      <c r="D2" t="inlineStr">
        <is>
          <t>A46</t>
        </is>
      </c>
      <c r="E2" t="n">
        <v>620</v>
      </c>
      <c r="F2" t="n">
        <v>480</v>
      </c>
      <c r="G2" t="inlineStr">
        <is>
          <t>NO</t>
        </is>
      </c>
      <c r="H2" t="inlineStr"/>
      <c r="I2" t="inlineStr"/>
      <c r="J2" t="inlineStr"/>
      <c r="K2" t="inlineStr"/>
      <c r="L2" t="inlineStr">
        <is>
          <t>Contenido de Humedad (%)</t>
        </is>
      </c>
      <c r="M2" t="inlineStr">
        <is>
          <t>Densidad Seca (g/cm³)</t>
        </is>
      </c>
      <c r="N2" t="inlineStr">
        <is>
          <t>Ajuste MTC (Cúbico)</t>
        </is>
      </c>
      <c r="O2" t="inlineStr">
        <is>
          <t>linea_suave</t>
        </is>
      </c>
      <c r="P2" t="inlineStr">
        <is>
          <t>'_DATOS'!$H$3:$H$203</t>
        </is>
      </c>
      <c r="Q2" t="inlineStr">
        <is>
          <t>'_DATOS'!$I$3:$I$203</t>
        </is>
      </c>
      <c r="R2" t="inlineStr">
        <is>
          <t>DC2626</t>
        </is>
      </c>
      <c r="S2" t="n">
        <v>1</v>
      </c>
    </row>
    <row r="3">
      <c r="A3" t="inlineStr">
        <is>
          <t>curva_compactacion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Puntos de Ensayo</t>
        </is>
      </c>
      <c r="O3" t="inlineStr">
        <is>
          <t>marcador</t>
        </is>
      </c>
      <c r="P3" t="inlineStr">
        <is>
          <t>'_DATOS'!$A$3:$A$6</t>
        </is>
      </c>
      <c r="Q3" t="inlineStr">
        <is>
          <t>'_DATOS'!$B$3:$B$6</t>
        </is>
      </c>
      <c r="R3" t="inlineStr">
        <is>
          <t>1E40AF</t>
        </is>
      </c>
      <c r="S3" t="n">
        <v>2</v>
      </c>
    </row>
    <row r="4">
      <c r="A4" t="inlineStr">
        <is>
          <t>curva_compactacion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Máxima Densidad Seca</t>
        </is>
      </c>
      <c r="O4" t="inlineStr">
        <is>
          <t>marcador</t>
        </is>
      </c>
      <c r="P4" t="inlineStr">
        <is>
          <t>'_DATOS'!$K$3:$K$3</t>
        </is>
      </c>
      <c r="Q4" t="inlineStr">
        <is>
          <t>'_DATOS'!$L$3:$L$3</t>
        </is>
      </c>
      <c r="R4" t="inlineStr">
        <is>
          <t>059669</t>
        </is>
      </c>
      <c r="S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4A3B8"/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celda</t>
        </is>
      </c>
      <c r="C1" t="inlineStr">
        <is>
          <t>tipo</t>
        </is>
      </c>
      <c r="D1" t="inlineStr">
        <is>
          <t>formato</t>
        </is>
      </c>
    </row>
    <row r="2">
      <c r="A2" t="inlineStr">
        <is>
          <t>meta.codigo_ensayo</t>
        </is>
      </c>
      <c r="B2" t="inlineStr">
        <is>
          <t>B8</t>
        </is>
      </c>
      <c r="C2" t="inlineStr">
        <is>
          <t>texto</t>
        </is>
      </c>
    </row>
    <row r="3">
      <c r="A3" t="inlineStr">
        <is>
          <t>meta.proyecto_nombre</t>
        </is>
      </c>
      <c r="B3" t="inlineStr">
        <is>
          <t>B10</t>
        </is>
      </c>
      <c r="C3" t="inlineStr">
        <is>
          <t>texto</t>
        </is>
      </c>
    </row>
    <row r="4">
      <c r="A4" t="inlineStr">
        <is>
          <t>meta.tramo_nombre</t>
        </is>
      </c>
      <c r="B4" t="inlineStr">
        <is>
          <t>C11</t>
        </is>
      </c>
      <c r="C4" t="inlineStr">
        <is>
          <t>texto</t>
        </is>
      </c>
    </row>
    <row r="5">
      <c r="A5" t="inlineStr">
        <is>
          <t>meta.distrito</t>
        </is>
      </c>
      <c r="B5" t="inlineStr">
        <is>
          <t>E11</t>
        </is>
      </c>
      <c r="C5" t="inlineStr">
        <is>
          <t>texto</t>
        </is>
      </c>
    </row>
    <row r="6">
      <c r="A6" t="inlineStr">
        <is>
          <t>meta.provincia</t>
        </is>
      </c>
      <c r="B6" t="inlineStr">
        <is>
          <t>G11</t>
        </is>
      </c>
      <c r="C6" t="inlineStr">
        <is>
          <t>texto</t>
        </is>
      </c>
    </row>
    <row r="7">
      <c r="A7" t="inlineStr">
        <is>
          <t>meta.departamento</t>
        </is>
      </c>
      <c r="B7" t="inlineStr">
        <is>
          <t>I11</t>
        </is>
      </c>
      <c r="C7" t="inlineStr">
        <is>
          <t>texto</t>
        </is>
      </c>
    </row>
    <row r="8">
      <c r="A8" t="inlineStr">
        <is>
          <t>meta.solicitante</t>
        </is>
      </c>
      <c r="B8" t="inlineStr">
        <is>
          <t>B12</t>
        </is>
      </c>
      <c r="C8" t="inlineStr">
        <is>
          <t>texto</t>
        </is>
      </c>
    </row>
    <row r="9">
      <c r="A9" t="inlineStr">
        <is>
          <t>meta.fecha_muestreo</t>
        </is>
      </c>
      <c r="B9" t="inlineStr">
        <is>
          <t>G12</t>
        </is>
      </c>
      <c r="C9" t="inlineStr">
        <is>
          <t>fecha</t>
        </is>
      </c>
      <c r="D9" t="inlineStr">
        <is>
          <t>dddd d" de "mmmm" de "yyyy</t>
        </is>
      </c>
    </row>
    <row r="10">
      <c r="A10" t="inlineStr">
        <is>
          <t>meta.coordenada_este</t>
        </is>
      </c>
      <c r="B10" t="inlineStr">
        <is>
          <t>C13</t>
        </is>
      </c>
      <c r="C10" t="inlineStr">
        <is>
          <t>numero</t>
        </is>
      </c>
      <c r="D10" t="inlineStr">
        <is>
          <t>0.00</t>
        </is>
      </c>
    </row>
    <row r="11">
      <c r="A11" t="inlineStr">
        <is>
          <t>meta.coordenada_norte</t>
        </is>
      </c>
      <c r="B11" t="inlineStr">
        <is>
          <t>F13</t>
        </is>
      </c>
      <c r="C11" t="inlineStr">
        <is>
          <t>numero</t>
        </is>
      </c>
      <c r="D11" t="inlineStr">
        <is>
          <t>0.00</t>
        </is>
      </c>
    </row>
    <row r="12">
      <c r="A12" t="inlineStr">
        <is>
          <t>meta.profundidad</t>
        </is>
      </c>
      <c r="B12" t="inlineStr">
        <is>
          <t>I13</t>
        </is>
      </c>
      <c r="C12" t="inlineStr">
        <is>
          <t>texto</t>
        </is>
      </c>
    </row>
    <row r="13">
      <c r="A13" t="inlineStr">
        <is>
          <t>meta.calicata</t>
        </is>
      </c>
      <c r="B13" t="inlineStr">
        <is>
          <t>C14</t>
        </is>
      </c>
      <c r="C13" t="inlineStr">
        <is>
          <t>texto</t>
        </is>
      </c>
    </row>
    <row r="14">
      <c r="A14" t="inlineStr">
        <is>
          <t>meta.progresiva</t>
        </is>
      </c>
      <c r="B14" t="inlineStr">
        <is>
          <t>E14</t>
        </is>
      </c>
      <c r="C14" t="inlineStr">
        <is>
          <t>texto</t>
        </is>
      </c>
    </row>
    <row r="15">
      <c r="A15" t="inlineStr">
        <is>
          <t>meta.estrato</t>
        </is>
      </c>
      <c r="B15" t="inlineStr">
        <is>
          <t>G14</t>
        </is>
      </c>
      <c r="C15" t="inlineStr">
        <is>
          <t>texto</t>
        </is>
      </c>
    </row>
    <row r="16">
      <c r="A16" t="inlineStr">
        <is>
          <t>meta.lado</t>
        </is>
      </c>
      <c r="B16" t="inlineStr">
        <is>
          <t>I14</t>
        </is>
      </c>
      <c r="C16" t="inlineStr">
        <is>
          <t>texto</t>
        </is>
      </c>
    </row>
    <row r="17">
      <c r="A17" t="inlineStr">
        <is>
          <t>datos.general_fields.codigo_molde</t>
        </is>
      </c>
      <c r="B17" t="inlineStr">
        <is>
          <t>C17</t>
        </is>
      </c>
      <c r="C17" t="inlineStr">
        <is>
          <t>texto</t>
        </is>
      </c>
    </row>
    <row r="18">
      <c r="A18" t="inlineStr">
        <is>
          <t>datos.general_fields.diametro_cm</t>
        </is>
      </c>
      <c r="B18" t="inlineStr">
        <is>
          <t>E17</t>
        </is>
      </c>
      <c r="C18" t="inlineStr">
        <is>
          <t>numero</t>
        </is>
      </c>
      <c r="D18" t="inlineStr">
        <is>
          <t>0.00</t>
        </is>
      </c>
    </row>
    <row r="19">
      <c r="A19" t="inlineStr">
        <is>
          <t>datos.general_fields.altura_cm</t>
        </is>
      </c>
      <c r="B19" t="inlineStr">
        <is>
          <t>G17</t>
        </is>
      </c>
      <c r="C19" t="inlineStr">
        <is>
          <t>numero</t>
        </is>
      </c>
      <c r="D19" t="inlineStr">
        <is>
          <t>0.00</t>
        </is>
      </c>
    </row>
    <row r="20">
      <c r="A20" t="inlineStr">
        <is>
          <t>datos.general_fields.golpes_por_capa</t>
        </is>
      </c>
      <c r="B20" t="inlineStr">
        <is>
          <t>C18</t>
        </is>
      </c>
      <c r="C20" t="inlineStr">
        <is>
          <t>numero</t>
        </is>
      </c>
      <c r="D20" t="inlineStr">
        <is>
          <t>0</t>
        </is>
      </c>
    </row>
    <row r="21">
      <c r="A21" t="inlineStr">
        <is>
          <t>datos.general_fields.numero_capas</t>
        </is>
      </c>
      <c r="B21" t="inlineStr">
        <is>
          <t>E18</t>
        </is>
      </c>
      <c r="C21" t="inlineStr">
        <is>
          <t>numero</t>
        </is>
      </c>
      <c r="D21" t="inlineStr">
        <is>
          <t>0</t>
        </is>
      </c>
    </row>
    <row r="22">
      <c r="A22" t="inlineStr">
        <is>
          <t>datos.general_fields.masa_martillo_lb</t>
        </is>
      </c>
      <c r="B22" t="inlineStr">
        <is>
          <t>G18</t>
        </is>
      </c>
      <c r="C22" t="inlineStr">
        <is>
          <t>numero</t>
        </is>
      </c>
      <c r="D22" t="inlineStr">
        <is>
          <t>0</t>
        </is>
      </c>
    </row>
    <row r="23">
      <c r="A23" t="inlineStr">
        <is>
          <t>datos.tables.datos_ensayo.m1.masa_molde</t>
        </is>
      </c>
      <c r="B23" t="inlineStr">
        <is>
          <t>B22</t>
        </is>
      </c>
      <c r="C23" t="inlineStr">
        <is>
          <t>numero</t>
        </is>
      </c>
      <c r="D23" t="inlineStr">
        <is>
          <t>0.00</t>
        </is>
      </c>
    </row>
    <row r="24">
      <c r="A24" t="inlineStr">
        <is>
          <t>datos.tables.datos_ensayo.m1.masa_suelo_humedo_molde</t>
        </is>
      </c>
      <c r="B24" t="inlineStr">
        <is>
          <t>B23</t>
        </is>
      </c>
      <c r="C24" t="inlineStr">
        <is>
          <t>numero</t>
        </is>
      </c>
      <c r="D24" t="inlineStr">
        <is>
          <t>0.00</t>
        </is>
      </c>
    </row>
    <row r="25">
      <c r="A25" t="inlineStr">
        <is>
          <t>datos.tables.datos_ensayo.m1.agua_incrementada</t>
        </is>
      </c>
      <c r="B25" t="inlineStr">
        <is>
          <t>B24</t>
        </is>
      </c>
      <c r="C25" t="inlineStr">
        <is>
          <t>numero</t>
        </is>
      </c>
      <c r="D25" t="inlineStr">
        <is>
          <t>0.00</t>
        </is>
      </c>
    </row>
    <row r="26">
      <c r="A26" t="inlineStr">
        <is>
          <t>datos.tables.datos_ensayo.m2.masa_molde</t>
        </is>
      </c>
      <c r="B26" t="inlineStr">
        <is>
          <t>D22</t>
        </is>
      </c>
      <c r="C26" t="inlineStr">
        <is>
          <t>numero</t>
        </is>
      </c>
      <c r="D26" t="inlineStr">
        <is>
          <t>0.00</t>
        </is>
      </c>
    </row>
    <row r="27">
      <c r="A27" t="inlineStr">
        <is>
          <t>datos.tables.datos_ensayo.m2.masa_suelo_humedo_molde</t>
        </is>
      </c>
      <c r="B27" t="inlineStr">
        <is>
          <t>D23</t>
        </is>
      </c>
      <c r="C27" t="inlineStr">
        <is>
          <t>numero</t>
        </is>
      </c>
      <c r="D27" t="inlineStr">
        <is>
          <t>0.00</t>
        </is>
      </c>
    </row>
    <row r="28">
      <c r="A28" t="inlineStr">
        <is>
          <t>datos.tables.datos_ensayo.m2.agua_incrementada</t>
        </is>
      </c>
      <c r="B28" t="inlineStr">
        <is>
          <t>D24</t>
        </is>
      </c>
      <c r="C28" t="inlineStr">
        <is>
          <t>numero</t>
        </is>
      </c>
      <c r="D28" t="inlineStr">
        <is>
          <t>0.00</t>
        </is>
      </c>
    </row>
    <row r="29">
      <c r="A29" t="inlineStr">
        <is>
          <t>datos.tables.datos_ensayo.m3.masa_molde</t>
        </is>
      </c>
      <c r="B29" t="inlineStr">
        <is>
          <t>F22</t>
        </is>
      </c>
      <c r="C29" t="inlineStr">
        <is>
          <t>numero</t>
        </is>
      </c>
      <c r="D29" t="inlineStr">
        <is>
          <t>0.00</t>
        </is>
      </c>
    </row>
    <row r="30">
      <c r="A30" t="inlineStr">
        <is>
          <t>datos.tables.datos_ensayo.m3.masa_suelo_humedo_molde</t>
        </is>
      </c>
      <c r="B30" t="inlineStr">
        <is>
          <t>F23</t>
        </is>
      </c>
      <c r="C30" t="inlineStr">
        <is>
          <t>numero</t>
        </is>
      </c>
      <c r="D30" t="inlineStr">
        <is>
          <t>0.00</t>
        </is>
      </c>
    </row>
    <row r="31">
      <c r="A31" t="inlineStr">
        <is>
          <t>datos.tables.datos_ensayo.m3.agua_incrementada</t>
        </is>
      </c>
      <c r="B31" t="inlineStr">
        <is>
          <t>F24</t>
        </is>
      </c>
      <c r="C31" t="inlineStr">
        <is>
          <t>numero</t>
        </is>
      </c>
      <c r="D31" t="inlineStr">
        <is>
          <t>0.00</t>
        </is>
      </c>
    </row>
    <row r="32">
      <c r="A32" t="inlineStr">
        <is>
          <t>datos.tables.datos_ensayo.m4.masa_molde</t>
        </is>
      </c>
      <c r="B32" t="inlineStr">
        <is>
          <t>H22</t>
        </is>
      </c>
      <c r="C32" t="inlineStr">
        <is>
          <t>numero</t>
        </is>
      </c>
      <c r="D32" t="inlineStr">
        <is>
          <t>0.00</t>
        </is>
      </c>
    </row>
    <row r="33">
      <c r="A33" t="inlineStr">
        <is>
          <t>datos.tables.datos_ensayo.m4.masa_suelo_humedo_molde</t>
        </is>
      </c>
      <c r="B33" t="inlineStr">
        <is>
          <t>H23</t>
        </is>
      </c>
      <c r="C33" t="inlineStr">
        <is>
          <t>numero</t>
        </is>
      </c>
      <c r="D33" t="inlineStr">
        <is>
          <t>0.00</t>
        </is>
      </c>
    </row>
    <row r="34">
      <c r="A34" t="inlineStr">
        <is>
          <t>datos.tables.datos_ensayo.m4.agua_incrementada</t>
        </is>
      </c>
      <c r="B34" t="inlineStr">
        <is>
          <t>H24</t>
        </is>
      </c>
      <c r="C34" t="inlineStr">
        <is>
          <t>numero</t>
        </is>
      </c>
      <c r="D34" t="inlineStr">
        <is>
          <t>0.00</t>
        </is>
      </c>
    </row>
    <row r="35">
      <c r="A35" t="inlineStr">
        <is>
          <t>datos.tables.calculo_humedad.m1.capsula_nro</t>
        </is>
      </c>
      <c r="B35" t="inlineStr">
        <is>
          <t>B32</t>
        </is>
      </c>
      <c r="C35" t="inlineStr">
        <is>
          <t>texto</t>
        </is>
      </c>
    </row>
    <row r="36">
      <c r="A36" t="inlineStr">
        <is>
          <t>datos.tables.calculo_humedad.m1.masa_capsula</t>
        </is>
      </c>
      <c r="B36" t="inlineStr">
        <is>
          <t>B33</t>
        </is>
      </c>
      <c r="C36" t="inlineStr">
        <is>
          <t>numero</t>
        </is>
      </c>
      <c r="D36" t="inlineStr">
        <is>
          <t>0.00</t>
        </is>
      </c>
    </row>
    <row r="37">
      <c r="A37" t="inlineStr">
        <is>
          <t>datos.tables.calculo_humedad.m1.masa_capsula_suelo_humedo</t>
        </is>
      </c>
      <c r="B37" t="inlineStr">
        <is>
          <t>B34</t>
        </is>
      </c>
      <c r="C37" t="inlineStr">
        <is>
          <t>numero</t>
        </is>
      </c>
      <c r="D37" t="inlineStr">
        <is>
          <t>0.00</t>
        </is>
      </c>
    </row>
    <row r="38">
      <c r="A38" t="inlineStr">
        <is>
          <t>datos.tables.calculo_humedad.m1.masa_capsula_suelo_seco</t>
        </is>
      </c>
      <c r="B38" t="inlineStr">
        <is>
          <t>B35</t>
        </is>
      </c>
      <c r="C38" t="inlineStr">
        <is>
          <t>numero</t>
        </is>
      </c>
      <c r="D38" t="inlineStr">
        <is>
          <t>0.00</t>
        </is>
      </c>
    </row>
    <row r="39">
      <c r="A39" t="inlineStr">
        <is>
          <t>datos.tables.calculo_humedad.m2.capsula_nro</t>
        </is>
      </c>
      <c r="B39" t="inlineStr">
        <is>
          <t>D32</t>
        </is>
      </c>
      <c r="C39" t="inlineStr">
        <is>
          <t>texto</t>
        </is>
      </c>
    </row>
    <row r="40">
      <c r="A40" t="inlineStr">
        <is>
          <t>datos.tables.calculo_humedad.m2.masa_capsula</t>
        </is>
      </c>
      <c r="B40" t="inlineStr">
        <is>
          <t>D33</t>
        </is>
      </c>
      <c r="C40" t="inlineStr">
        <is>
          <t>numero</t>
        </is>
      </c>
      <c r="D40" t="inlineStr">
        <is>
          <t>0.00</t>
        </is>
      </c>
    </row>
    <row r="41">
      <c r="A41" t="inlineStr">
        <is>
          <t>datos.tables.calculo_humedad.m2.masa_capsula_suelo_humedo</t>
        </is>
      </c>
      <c r="B41" t="inlineStr">
        <is>
          <t>D34</t>
        </is>
      </c>
      <c r="C41" t="inlineStr">
        <is>
          <t>numero</t>
        </is>
      </c>
      <c r="D41" t="inlineStr">
        <is>
          <t>0.00</t>
        </is>
      </c>
    </row>
    <row r="42">
      <c r="A42" t="inlineStr">
        <is>
          <t>datos.tables.calculo_humedad.m2.masa_capsula_suelo_seco</t>
        </is>
      </c>
      <c r="B42" t="inlineStr">
        <is>
          <t>D35</t>
        </is>
      </c>
      <c r="C42" t="inlineStr">
        <is>
          <t>numero</t>
        </is>
      </c>
      <c r="D42" t="inlineStr">
        <is>
          <t>0.00</t>
        </is>
      </c>
    </row>
    <row r="43">
      <c r="A43" t="inlineStr">
        <is>
          <t>datos.tables.calculo_humedad.m3.capsula_nro</t>
        </is>
      </c>
      <c r="B43" t="inlineStr">
        <is>
          <t>F32</t>
        </is>
      </c>
      <c r="C43" t="inlineStr">
        <is>
          <t>texto</t>
        </is>
      </c>
    </row>
    <row r="44">
      <c r="A44" t="inlineStr">
        <is>
          <t>datos.tables.calculo_humedad.m3.masa_capsula</t>
        </is>
      </c>
      <c r="B44" t="inlineStr">
        <is>
          <t>F33</t>
        </is>
      </c>
      <c r="C44" t="inlineStr">
        <is>
          <t>numero</t>
        </is>
      </c>
      <c r="D44" t="inlineStr">
        <is>
          <t>0.00</t>
        </is>
      </c>
    </row>
    <row r="45">
      <c r="A45" t="inlineStr">
        <is>
          <t>datos.tables.calculo_humedad.m3.masa_capsula_suelo_humedo</t>
        </is>
      </c>
      <c r="B45" t="inlineStr">
        <is>
          <t>F34</t>
        </is>
      </c>
      <c r="C45" t="inlineStr">
        <is>
          <t>numero</t>
        </is>
      </c>
      <c r="D45" t="inlineStr">
        <is>
          <t>0.00</t>
        </is>
      </c>
    </row>
    <row r="46">
      <c r="A46" t="inlineStr">
        <is>
          <t>datos.tables.calculo_humedad.m3.masa_capsula_suelo_seco</t>
        </is>
      </c>
      <c r="B46" t="inlineStr">
        <is>
          <t>F35</t>
        </is>
      </c>
      <c r="C46" t="inlineStr">
        <is>
          <t>numero</t>
        </is>
      </c>
      <c r="D46" t="inlineStr">
        <is>
          <t>0.00</t>
        </is>
      </c>
    </row>
    <row r="47">
      <c r="A47" t="inlineStr">
        <is>
          <t>datos.tables.calculo_humedad.m4.capsula_nro</t>
        </is>
      </c>
      <c r="B47" t="inlineStr">
        <is>
          <t>H32</t>
        </is>
      </c>
      <c r="C47" t="inlineStr">
        <is>
          <t>texto</t>
        </is>
      </c>
    </row>
    <row r="48">
      <c r="A48" t="inlineStr">
        <is>
          <t>datos.tables.calculo_humedad.m4.masa_capsula</t>
        </is>
      </c>
      <c r="B48" t="inlineStr">
        <is>
          <t>H33</t>
        </is>
      </c>
      <c r="C48" t="inlineStr">
        <is>
          <t>numero</t>
        </is>
      </c>
      <c r="D48" t="inlineStr">
        <is>
          <t>0.00</t>
        </is>
      </c>
    </row>
    <row r="49">
      <c r="A49" t="inlineStr">
        <is>
          <t>datos.tables.calculo_humedad.m4.masa_capsula_suelo_humedo</t>
        </is>
      </c>
      <c r="B49" t="inlineStr">
        <is>
          <t>H34</t>
        </is>
      </c>
      <c r="C49" t="inlineStr">
        <is>
          <t>numero</t>
        </is>
      </c>
      <c r="D49" t="inlineStr">
        <is>
          <t>0.00</t>
        </is>
      </c>
    </row>
    <row r="50">
      <c r="A50" t="inlineStr">
        <is>
          <t>datos.tables.calculo_humedad.m4.masa_capsula_suelo_seco</t>
        </is>
      </c>
      <c r="B50" t="inlineStr">
        <is>
          <t>H35</t>
        </is>
      </c>
      <c r="C50" t="inlineStr">
        <is>
          <t>numero</t>
        </is>
      </c>
      <c r="D5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2026-09-15T15:56:56Z</dcterms:created>
  <dcterms:modified xmlns:dcterms="http://purl.org/dc/terms/" xmlns:xsi="http://www.w3.org/2001/XMLSchema-instance" xsi:type="dcterms:W3CDTF">2026-09-15T15:56:56Z</dcterms:modified>
</cp:coreProperties>
</file>