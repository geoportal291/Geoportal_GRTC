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_DATOS" sheetId="2" state="hidden" r:id="rId2"/>
    <sheet name="_GRAFICOS" sheetId="3" state="hidden" r:id="rId3"/>
    <sheet name="_MAPA" sheetId="4" state="hidden" r:id="rId4"/>
  </sheets>
  <definedNames>
    <definedName name="GranX">'_DATOS'!$A$3:$A$23</definedName>
    <definedName name="GranY">'_DATOS'!$B$3:$B$23</definedName>
    <definedName name="_xlnm.Print_Area" localSheetId="0">'Reporte'!$A$1:$I$103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"/>
    <numFmt numFmtId="167" formatCode="0.0&quot; %&quot;"/>
  </numFmts>
  <fonts count="16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1F2937"/>
      <sz val="9"/>
    </font>
    <font>
      <name val="Calibri"/>
      <color rgb="001F2937"/>
      <sz val="8"/>
    </font>
    <font>
      <name val="Calibri"/>
      <i val="1"/>
      <color rgb="00374151"/>
      <sz val="7.5"/>
    </font>
    <font>
      <name val="Calibri"/>
      <b val="1"/>
      <color rgb="00FFFFFF"/>
      <sz val="10"/>
    </font>
    <font>
      <name val="Calibri"/>
      <color rgb="00111827"/>
      <sz val="9"/>
    </font>
    <font>
      <name val="Calibri"/>
      <b val="1"/>
      <color rgb="00FFFFFF"/>
      <sz val="11"/>
    </font>
    <font>
      <name val="Calibri"/>
      <b val="1"/>
      <color rgb="00475569"/>
      <sz val="8"/>
    </font>
    <font>
      <name val="Calibri"/>
      <b val="1"/>
      <color rgb="00111827"/>
      <sz val="10"/>
    </font>
    <font>
      <name val="Calibri"/>
      <b val="1"/>
      <sz val="9"/>
    </font>
    <font>
      <name val="Calibri"/>
      <b val="1"/>
      <color rgb="00111827"/>
      <sz val="11"/>
    </font>
    <font>
      <name val="Calibri"/>
      <color rgb="001D4ED8"/>
      <sz val="9"/>
    </font>
    <font>
      <name val="Calibri"/>
      <b val="1"/>
      <color rgb="00FFFFFF"/>
      <sz val="9"/>
    </font>
    <font>
      <name val="Calibri"/>
      <color rgb="00111827"/>
      <sz val="8"/>
    </font>
    <font>
      <name val="Calibri"/>
      <b val="1"/>
      <color rgb="00334155"/>
      <sz val="8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EEF2F7"/>
      </patternFill>
    </fill>
  </fills>
  <borders count="7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0F172A"/>
      </top>
      <bottom/>
      <diagonal/>
    </border>
    <border>
      <left/>
      <right style="thin">
        <color rgb="000F172A"/>
      </right>
      <top style="thin">
        <color rgb="000F172A"/>
      </top>
      <bottom/>
      <diagonal/>
    </border>
    <border>
      <left/>
      <right/>
      <top style="thin">
        <color rgb="000F172A"/>
      </top>
      <bottom style="thin">
        <color rgb="000F172A"/>
      </bottom>
      <diagonal/>
    </border>
    <border>
      <left/>
      <right style="thin">
        <color rgb="000F172A"/>
      </right>
      <top style="thin">
        <color rgb="000F172A"/>
      </top>
      <bottom style="thin">
        <color rgb="000F172A"/>
      </bottom>
      <diagonal/>
    </border>
    <border>
      <top style="thin">
        <color rgb="000F172A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2" fontId="1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12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12" fillId="7" borderId="0" pivotButton="0" quotePrefix="0" xfId="0"/>
    <xf numFmtId="2" fontId="12" fillId="7" borderId="0" pivotButton="0" quotePrefix="0" xfId="0"/>
    <xf numFmtId="167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1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Granulométrica — % que Pasa vs Abertura de Tamiz (mm, esc. log)</a:t>
            </a:r>
          </a:p>
        </rich>
      </tx>
    </title>
    <plotArea>
      <scatterChart>
        <varyColors val="0"/>
        <ser>
          <idx val="0"/>
          <order val="0"/>
          <tx>
            <v>Curva Granulométrica</v>
          </tx>
          <spPr>
            <a:ln w="24000">
              <a:solidFill>
                <a:srgbClr val="1E40AF"/>
              </a:solidFill>
              <a:prstDash val="solid"/>
            </a:ln>
          </spPr>
          <marker>
            <symbol val="circle"/>
            <size val="6"/>
            <spPr>
              <a:solidFill>
                <a:srgbClr val="1E40AF"/>
              </a:solidFill>
              <a:ln>
                <a:prstDash val="solid"/>
              </a:ln>
            </spPr>
          </marker>
          <xVal>
            <numRef>
              <f>'_DATOS'!$A$3:$A$23</f>
            </numRef>
          </xVal>
          <yVal>
            <numRef>
              <f>'_DATOS'!$B$3:$B$23</f>
            </numRef>
          </yVal>
          <smooth val="1"/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Relationship Type="http://schemas.openxmlformats.org/officeDocument/2006/relationships/image" Target="/xl/media/image2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70</row>
      <rowOff>0</rowOff>
    </from>
    <ext cx="5903999" cy="45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1238250" cy="495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047750" cy="495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0" customHeight="1">
      <c r="C1" s="1" t="inlineStr">
        <is>
          <t>GOBIERNO REGIONAL CUSCO</t>
        </is>
      </c>
    </row>
    <row r="2" ht="15" customHeight="1">
      <c r="C2" s="2" t="inlineStr">
        <is>
          <t>Gerencia Regional de Transportes y Comunicaciones Cusco</t>
        </is>
      </c>
    </row>
    <row r="3" ht="12" customHeight="1">
      <c r="C3" s="3" t="inlineStr">
        <is>
          <t>SUB GERENCIA DE COBERTURA Y COMUNICACIONES</t>
        </is>
      </c>
    </row>
    <row r="4" ht="12" customHeight="1">
      <c r="C4" s="3" t="inlineStr">
        <is>
          <t>UNIDAD FUNCIONAL ESTUDIOS Y PROYECTOS</t>
        </is>
      </c>
    </row>
    <row r="5" ht="14" customHeight="1">
      <c r="C5" s="2" t="inlineStr">
        <is>
          <t>Laboratorio de Mecánica de Suelos, Materiales y Pavimentos</t>
        </is>
      </c>
    </row>
    <row r="6" ht="12" customHeight="1">
      <c r="C6" s="4" t="inlineStr">
        <is>
          <t>«Año de la recuperación y consolidación de la economía peruana»</t>
        </is>
      </c>
    </row>
    <row r="7" ht="4" customHeight="1"/>
    <row r="8" ht="20" customHeight="1">
      <c r="A8" s="5" t="inlineStr">
        <is>
          <t>CÓDIGO</t>
        </is>
      </c>
      <c r="B8" s="6" t="n"/>
      <c r="C8" s="7" t="n"/>
      <c r="D8" s="7" t="n"/>
      <c r="E8" s="7" t="n"/>
      <c r="F8" s="7" t="n"/>
      <c r="G8" s="7" t="n"/>
      <c r="H8" s="7" t="n"/>
      <c r="I8" s="7" t="n"/>
    </row>
    <row r="9" ht="6" customHeight="1"/>
    <row r="10" ht="20" customHeight="1">
      <c r="A10" s="8" t="inlineStr">
        <is>
          <t>PROYECTO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8" t="inlineStr">
        <is>
          <t>UBICACIÓN</t>
        </is>
      </c>
      <c r="B11" s="8" t="inlineStr">
        <is>
          <t>Lugar:</t>
        </is>
      </c>
      <c r="C11" s="10" t="n"/>
      <c r="D11" s="8" t="inlineStr">
        <is>
          <t>Distrito:</t>
        </is>
      </c>
      <c r="E11" s="10" t="n"/>
      <c r="F11" s="8" t="inlineStr">
        <is>
          <t>Provincia:</t>
        </is>
      </c>
      <c r="G11" s="10" t="n"/>
      <c r="H11" s="8" t="inlineStr">
        <is>
          <t>Dpto:</t>
        </is>
      </c>
      <c r="I11" s="10" t="n"/>
    </row>
    <row r="12" ht="20" customHeight="1">
      <c r="A12" s="8" t="inlineStr">
        <is>
          <t>SOLICITANTE</t>
        </is>
      </c>
      <c r="B12" s="11" t="n"/>
      <c r="C12" s="12" t="n"/>
      <c r="D12" s="12" t="n"/>
      <c r="E12" s="13" t="inlineStr">
        <is>
          <t>Fecha Muestreo:</t>
        </is>
      </c>
      <c r="F12" s="14" t="n"/>
      <c r="G12" s="15" t="n"/>
    </row>
    <row r="13" ht="20" customHeight="1">
      <c r="A13" s="8" t="inlineStr">
        <is>
          <t>COORDENADAS</t>
        </is>
      </c>
      <c r="B13" s="8" t="inlineStr">
        <is>
          <t>E:</t>
        </is>
      </c>
      <c r="C13" s="10" t="n"/>
      <c r="E13" s="8" t="inlineStr">
        <is>
          <t>N:</t>
        </is>
      </c>
      <c r="F13" s="10" t="n"/>
      <c r="H13" s="8" t="inlineStr">
        <is>
          <t>Prof. (m):</t>
        </is>
      </c>
      <c r="I13" s="10" t="n"/>
    </row>
    <row r="14" ht="20" customHeight="1">
      <c r="A14" s="8" t="inlineStr">
        <is>
          <t>DATOS DE MUESTRA</t>
        </is>
      </c>
      <c r="B14" s="8" t="inlineStr">
        <is>
          <t>Explor.:</t>
        </is>
      </c>
      <c r="C14" s="10" t="n"/>
      <c r="D14" s="8" t="inlineStr">
        <is>
          <t>Progresiva:</t>
        </is>
      </c>
      <c r="E14" s="10" t="n"/>
      <c r="F14" s="8" t="inlineStr">
        <is>
          <t>Estrato:</t>
        </is>
      </c>
      <c r="G14" s="10" t="n"/>
      <c r="H14" s="8" t="inlineStr">
        <is>
          <t>Lado:</t>
        </is>
      </c>
      <c r="I14" s="10" t="n"/>
    </row>
    <row r="15" ht="6" customHeight="1"/>
    <row r="16">
      <c r="A16" s="16" t="inlineStr">
        <is>
          <t>ANÁLISIS GRANULOMÉTRICO POR TAMIZADO - MTC E 107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3" t="inlineStr">
        <is>
          <t>PESO TOTAL (g)</t>
        </is>
      </c>
      <c r="B17" s="18" t="n"/>
      <c r="C17" s="19" t="n"/>
      <c r="D17" s="13" t="inlineStr">
        <is>
          <t>PESO FRAC. FINA TAMIZADA (g)</t>
        </is>
      </c>
      <c r="E17" s="14" t="n"/>
      <c r="F17" s="18" t="n"/>
      <c r="G17" s="19" t="n"/>
    </row>
    <row r="18">
      <c r="A18" s="13" t="inlineStr">
        <is>
          <t>PESO FRACCIÓN GRUESA (g)</t>
        </is>
      </c>
      <c r="B18" s="20">
        <f>IF(N(B17)&gt;0,SUM(C25:C34),"")</f>
        <v/>
      </c>
      <c r="C18" s="21" t="n"/>
      <c r="D18" s="13" t="inlineStr">
        <is>
          <t>PESO MUESTRA LAVADA (g)</t>
        </is>
      </c>
      <c r="E18" s="14" t="n"/>
      <c r="F18" s="20">
        <f>IF(AND(N(B17)&gt;0,N(F17)&gt;0),B18+SUM(C35:C45)*B19/F17,"")</f>
        <v/>
      </c>
      <c r="G18" s="21" t="n"/>
    </row>
    <row r="19">
      <c r="A19" s="13" t="inlineStr">
        <is>
          <t>PESO FRACCIÓN FINA (g)</t>
        </is>
      </c>
      <c r="B19" s="20">
        <f>IF(N(B17)&gt;0,B17-B18,"")</f>
        <v/>
      </c>
      <c r="C19" s="21" t="n"/>
      <c r="D19" s="13" t="inlineStr">
        <is>
          <t>COEFICIENTE</t>
        </is>
      </c>
      <c r="E19" s="14" t="n"/>
      <c r="F19" s="22">
        <f>IF(AND(N(B17)&gt;0,N(F17)&gt;0),IFERROR(F17/B17,0),"")</f>
        <v/>
      </c>
      <c r="G19" s="21" t="n"/>
    </row>
    <row r="20">
      <c r="A20" s="13" t="inlineStr">
        <is>
          <t>LÍMITE LÍQUIDO (%)</t>
        </is>
      </c>
      <c r="B20" s="18" t="n"/>
      <c r="C20" s="19" t="n"/>
      <c r="D20" s="13" t="inlineStr">
        <is>
          <t>ÍNDICE DE PLASTICIDAD (%)</t>
        </is>
      </c>
      <c r="E20" s="14" t="n"/>
      <c r="F20" s="18" t="n"/>
      <c r="G20" s="19" t="n"/>
    </row>
    <row r="21">
      <c r="A21" s="13" t="inlineStr">
        <is>
          <t>GRADACIÓN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6" customHeight="1"/>
    <row r="23">
      <c r="A23" s="16" t="inlineStr">
        <is>
          <t>TAMIZADO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 ht="16" customHeight="1">
      <c r="A24" s="23" t="inlineStr">
        <is>
          <t>Tamiz</t>
        </is>
      </c>
      <c r="B24" s="23" t="inlineStr">
        <is>
          <t>mm</t>
        </is>
      </c>
      <c r="C24" s="23" t="inlineStr">
        <is>
          <t>Masa (g)</t>
        </is>
      </c>
      <c r="D24" s="23" t="inlineStr">
        <is>
          <t>% Ret Parcial</t>
        </is>
      </c>
      <c r="E24" s="23" t="inlineStr">
        <is>
          <t>% Ret Acum.</t>
        </is>
      </c>
      <c r="F24" s="23" t="inlineStr">
        <is>
          <t>% que Pasa</t>
        </is>
      </c>
      <c r="G24" s="7" t="n"/>
      <c r="H24" s="7" t="n"/>
      <c r="I24" s="7" t="n"/>
    </row>
    <row r="25">
      <c r="A25" s="19" t="inlineStr">
        <is>
          <t>3"</t>
        </is>
      </c>
      <c r="B25" s="24" t="n">
        <v>75</v>
      </c>
      <c r="C25" s="19" t="n"/>
      <c r="D25" s="25">
        <f>IF(AND(N(B17)&gt;0,ISNUMBER(C25)),IFERROR(C25/B17*100,0),"")</f>
        <v/>
      </c>
      <c r="E25" s="25">
        <f>IF(ISNUMBER(D25),D25,0)</f>
        <v/>
      </c>
      <c r="F25" s="25">
        <f>100-E25</f>
        <v/>
      </c>
      <c r="G25" s="19" t="n"/>
      <c r="H25" s="19" t="n"/>
      <c r="I25" s="19" t="n"/>
    </row>
    <row r="26">
      <c r="A26" s="19" t="inlineStr">
        <is>
          <t>2 1/2"</t>
        </is>
      </c>
      <c r="B26" s="24" t="n">
        <v>62.9</v>
      </c>
      <c r="C26" s="19" t="n"/>
      <c r="D26" s="25">
        <f>IF(AND(N(B17)&gt;0,ISNUMBER(C26)),IFERROR(C26/B17*100,0),"")</f>
        <v/>
      </c>
      <c r="E26" s="25">
        <f>IF(ISNUMBER(D26),E25+D26,E25)</f>
        <v/>
      </c>
      <c r="F26" s="25">
        <f>100-E26</f>
        <v/>
      </c>
      <c r="G26" s="19" t="n"/>
      <c r="H26" s="19" t="n"/>
      <c r="I26" s="19" t="n"/>
    </row>
    <row r="27">
      <c r="A27" s="19" t="inlineStr">
        <is>
          <t>2"</t>
        </is>
      </c>
      <c r="B27" s="24" t="n">
        <v>50.8</v>
      </c>
      <c r="C27" s="19" t="n"/>
      <c r="D27" s="25">
        <f>IF(AND(N(B17)&gt;0,ISNUMBER(C27)),IFERROR(C27/B17*100,0),"")</f>
        <v/>
      </c>
      <c r="E27" s="25">
        <f>IF(ISNUMBER(D27),E26+D27,E26)</f>
        <v/>
      </c>
      <c r="F27" s="25">
        <f>100-E27</f>
        <v/>
      </c>
      <c r="G27" s="19" t="n"/>
      <c r="H27" s="19" t="n"/>
      <c r="I27" s="19" t="n"/>
    </row>
    <row r="28">
      <c r="A28" s="19" t="inlineStr">
        <is>
          <t>1 1/2"</t>
        </is>
      </c>
      <c r="B28" s="24" t="n">
        <v>38.1</v>
      </c>
      <c r="C28" s="19" t="n"/>
      <c r="D28" s="25">
        <f>IF(AND(N(B17)&gt;0,ISNUMBER(C28)),IFERROR(C28/B17*100,0),"")</f>
        <v/>
      </c>
      <c r="E28" s="25">
        <f>IF(ISNUMBER(D28),E27+D28,E27)</f>
        <v/>
      </c>
      <c r="F28" s="25">
        <f>100-E28</f>
        <v/>
      </c>
      <c r="G28" s="19" t="n"/>
      <c r="H28" s="19" t="n"/>
      <c r="I28" s="19" t="n"/>
    </row>
    <row r="29">
      <c r="A29" s="19" t="inlineStr">
        <is>
          <t>1"</t>
        </is>
      </c>
      <c r="B29" s="24" t="n">
        <v>25.4</v>
      </c>
      <c r="C29" s="19" t="n"/>
      <c r="D29" s="25">
        <f>IF(AND(N(B17)&gt;0,ISNUMBER(C29)),IFERROR(C29/B17*100,0),"")</f>
        <v/>
      </c>
      <c r="E29" s="25">
        <f>IF(ISNUMBER(D29),E28+D29,E28)</f>
        <v/>
      </c>
      <c r="F29" s="25">
        <f>100-E29</f>
        <v/>
      </c>
      <c r="G29" s="19" t="n"/>
      <c r="H29" s="19" t="n"/>
      <c r="I29" s="19" t="n"/>
    </row>
    <row r="30">
      <c r="A30" s="19" t="inlineStr">
        <is>
          <t>3/4"</t>
        </is>
      </c>
      <c r="B30" s="24" t="n">
        <v>19</v>
      </c>
      <c r="C30" s="19" t="n"/>
      <c r="D30" s="25">
        <f>IF(AND(N(B17)&gt;0,ISNUMBER(C30)),IFERROR(C30/B17*100,0),"")</f>
        <v/>
      </c>
      <c r="E30" s="25">
        <f>IF(ISNUMBER(D30),E29+D30,E29)</f>
        <v/>
      </c>
      <c r="F30" s="25">
        <f>100-E30</f>
        <v/>
      </c>
      <c r="G30" s="19" t="n"/>
      <c r="H30" s="19" t="n"/>
      <c r="I30" s="19" t="n"/>
    </row>
    <row r="31">
      <c r="A31" s="19" t="inlineStr">
        <is>
          <t>1/2"</t>
        </is>
      </c>
      <c r="B31" s="24" t="n">
        <v>12.7</v>
      </c>
      <c r="C31" s="19" t="n"/>
      <c r="D31" s="25">
        <f>IF(AND(N(B17)&gt;0,ISNUMBER(C31)),IFERROR(C31/B17*100,0),"")</f>
        <v/>
      </c>
      <c r="E31" s="25">
        <f>IF(ISNUMBER(D31),E30+D31,E30)</f>
        <v/>
      </c>
      <c r="F31" s="25">
        <f>100-E31</f>
        <v/>
      </c>
      <c r="G31" s="19" t="n"/>
      <c r="H31" s="19" t="n"/>
      <c r="I31" s="19" t="n"/>
    </row>
    <row r="32">
      <c r="A32" s="19" t="inlineStr">
        <is>
          <t>3/8"</t>
        </is>
      </c>
      <c r="B32" s="24" t="n">
        <v>9.5</v>
      </c>
      <c r="C32" s="19" t="n"/>
      <c r="D32" s="25">
        <f>IF(AND(N(B17)&gt;0,ISNUMBER(C32)),IFERROR(C32/B17*100,0),"")</f>
        <v/>
      </c>
      <c r="E32" s="25">
        <f>IF(ISNUMBER(D32),E31+D32,E31)</f>
        <v/>
      </c>
      <c r="F32" s="25">
        <f>100-E32</f>
        <v/>
      </c>
      <c r="G32" s="19" t="n"/>
      <c r="H32" s="19" t="n"/>
      <c r="I32" s="19" t="n"/>
    </row>
    <row r="33">
      <c r="A33" s="19" t="inlineStr">
        <is>
          <t>1/4"</t>
        </is>
      </c>
      <c r="B33" s="24" t="n">
        <v>6.3</v>
      </c>
      <c r="C33" s="19" t="n"/>
      <c r="D33" s="25">
        <f>IF(AND(N(B17)&gt;0,ISNUMBER(C33)),IFERROR(C33/B17*100,0),"")</f>
        <v/>
      </c>
      <c r="E33" s="25">
        <f>IF(ISNUMBER(D33),E32+D33,E32)</f>
        <v/>
      </c>
      <c r="F33" s="25">
        <f>100-E33</f>
        <v/>
      </c>
      <c r="G33" s="19" t="n"/>
      <c r="H33" s="19" t="n"/>
      <c r="I33" s="19" t="n"/>
    </row>
    <row r="34">
      <c r="A34" s="19" t="inlineStr">
        <is>
          <t>N° 4</t>
        </is>
      </c>
      <c r="B34" s="24" t="n">
        <v>4.76</v>
      </c>
      <c r="C34" s="19" t="n"/>
      <c r="D34" s="25">
        <f>IF(AND(N(B17)&gt;0,ISNUMBER(C34)),IFERROR(C34/B17*100,0),"")</f>
        <v/>
      </c>
      <c r="E34" s="25">
        <f>IF(ISNUMBER(D34),E33+D34,E33)</f>
        <v/>
      </c>
      <c r="F34" s="25">
        <f>100-E34</f>
        <v/>
      </c>
      <c r="G34" s="19" t="n"/>
      <c r="H34" s="19" t="n"/>
      <c r="I34" s="19" t="n"/>
    </row>
    <row r="35">
      <c r="A35" s="19" t="inlineStr">
        <is>
          <t>N° 8</t>
        </is>
      </c>
      <c r="B35" s="24" t="n">
        <v>2.36</v>
      </c>
      <c r="C35" s="19" t="n"/>
      <c r="D35" s="25">
        <f>IF(AND(N(F17)&gt;0,N(B17)&gt;0,ISNUMBER(C35)),IFERROR(C35/F17*(B17-B18)/B17*100,0),"")</f>
        <v/>
      </c>
      <c r="E35" s="25">
        <f>IF(ISNUMBER(D35),E34+D35,E34)</f>
        <v/>
      </c>
      <c r="F35" s="25">
        <f>100-E35</f>
        <v/>
      </c>
      <c r="G35" s="19" t="n"/>
      <c r="H35" s="19" t="n"/>
      <c r="I35" s="19" t="n"/>
    </row>
    <row r="36">
      <c r="A36" s="19" t="inlineStr">
        <is>
          <t>N° 10</t>
        </is>
      </c>
      <c r="B36" s="24" t="n">
        <v>2</v>
      </c>
      <c r="C36" s="19" t="n"/>
      <c r="D36" s="25">
        <f>IF(AND(N(F17)&gt;0,N(B17)&gt;0,ISNUMBER(C36)),IFERROR(C36/F17*(B17-B18)/B17*100,0),"")</f>
        <v/>
      </c>
      <c r="E36" s="25">
        <f>IF(ISNUMBER(D36),E35+D36,E35)</f>
        <v/>
      </c>
      <c r="F36" s="25">
        <f>100-E36</f>
        <v/>
      </c>
      <c r="G36" s="19" t="n"/>
      <c r="H36" s="19" t="n"/>
      <c r="I36" s="19" t="n"/>
    </row>
    <row r="37">
      <c r="A37" s="19" t="inlineStr">
        <is>
          <t>N° 16</t>
        </is>
      </c>
      <c r="B37" s="24" t="n">
        <v>1.1</v>
      </c>
      <c r="C37" s="19" t="n"/>
      <c r="D37" s="25">
        <f>IF(AND(N(F17)&gt;0,N(B17)&gt;0,ISNUMBER(C37)),IFERROR(C37/F17*(B17-B18)/B17*100,0),"")</f>
        <v/>
      </c>
      <c r="E37" s="25">
        <f>IF(ISNUMBER(D37),E36+D37,E36)</f>
        <v/>
      </c>
      <c r="F37" s="25">
        <f>100-E37</f>
        <v/>
      </c>
      <c r="G37" s="19" t="n"/>
      <c r="H37" s="19" t="n"/>
      <c r="I37" s="19" t="n"/>
    </row>
    <row r="38">
      <c r="A38" s="19" t="inlineStr">
        <is>
          <t>N° 20</t>
        </is>
      </c>
      <c r="B38" s="24" t="n">
        <v>0.85</v>
      </c>
      <c r="C38" s="19" t="n"/>
      <c r="D38" s="25">
        <f>IF(AND(N(F17)&gt;0,N(B17)&gt;0,ISNUMBER(C38)),IFERROR(C38/F17*(B17-B18)/B17*100,0),"")</f>
        <v/>
      </c>
      <c r="E38" s="25">
        <f>IF(ISNUMBER(D38),E37+D38,E37)</f>
        <v/>
      </c>
      <c r="F38" s="25">
        <f>100-E38</f>
        <v/>
      </c>
      <c r="G38" s="19" t="n"/>
      <c r="H38" s="19" t="n"/>
      <c r="I38" s="19" t="n"/>
    </row>
    <row r="39">
      <c r="A39" s="19" t="inlineStr">
        <is>
          <t>N° 30</t>
        </is>
      </c>
      <c r="B39" s="24" t="n">
        <v>0.59</v>
      </c>
      <c r="C39" s="19" t="n"/>
      <c r="D39" s="25">
        <f>IF(AND(N(F17)&gt;0,N(B17)&gt;0,ISNUMBER(C39)),IFERROR(C39/F17*(B17-B18)/B17*100,0),"")</f>
        <v/>
      </c>
      <c r="E39" s="25">
        <f>IF(ISNUMBER(D39),E38+D39,E38)</f>
        <v/>
      </c>
      <c r="F39" s="25">
        <f>100-E39</f>
        <v/>
      </c>
      <c r="G39" s="19" t="n"/>
      <c r="H39" s="19" t="n"/>
      <c r="I39" s="19" t="n"/>
    </row>
    <row r="40">
      <c r="A40" s="19" t="inlineStr">
        <is>
          <t>N° 40</t>
        </is>
      </c>
      <c r="B40" s="24" t="n">
        <v>0.425</v>
      </c>
      <c r="C40" s="19" t="n"/>
      <c r="D40" s="25">
        <f>IF(AND(N(F17)&gt;0,N(B17)&gt;0,ISNUMBER(C40)),IFERROR(C40/F17*(B17-B18)/B17*100,0),"")</f>
        <v/>
      </c>
      <c r="E40" s="25">
        <f>IF(ISNUMBER(D40),E39+D40,E39)</f>
        <v/>
      </c>
      <c r="F40" s="25">
        <f>100-E40</f>
        <v/>
      </c>
      <c r="G40" s="19" t="n"/>
      <c r="H40" s="19" t="n"/>
      <c r="I40" s="19" t="n"/>
    </row>
    <row r="41">
      <c r="A41" s="19" t="inlineStr">
        <is>
          <t>N° 50</t>
        </is>
      </c>
      <c r="B41" s="24" t="n">
        <v>0.297</v>
      </c>
      <c r="C41" s="19" t="n"/>
      <c r="D41" s="25">
        <f>IF(AND(N(F17)&gt;0,N(B17)&gt;0,ISNUMBER(C41)),IFERROR(C41/F17*(B17-B18)/B17*100,0),"")</f>
        <v/>
      </c>
      <c r="E41" s="25">
        <f>IF(ISNUMBER(D41),E40+D41,E40)</f>
        <v/>
      </c>
      <c r="F41" s="25">
        <f>100-E41</f>
        <v/>
      </c>
      <c r="G41" s="19" t="n"/>
      <c r="H41" s="19" t="n"/>
      <c r="I41" s="19" t="n"/>
    </row>
    <row r="42">
      <c r="A42" s="19" t="inlineStr">
        <is>
          <t>N° 60</t>
        </is>
      </c>
      <c r="B42" s="24" t="n">
        <v>0.25</v>
      </c>
      <c r="C42" s="19" t="n"/>
      <c r="D42" s="25">
        <f>IF(AND(N(F17)&gt;0,N(B17)&gt;0,ISNUMBER(C42)),IFERROR(C42/F17*(B17-B18)/B17*100,0),"")</f>
        <v/>
      </c>
      <c r="E42" s="25">
        <f>IF(ISNUMBER(D42),E41+D42,E41)</f>
        <v/>
      </c>
      <c r="F42" s="25">
        <f>100-E42</f>
        <v/>
      </c>
      <c r="G42" s="19" t="n"/>
      <c r="H42" s="19" t="n"/>
      <c r="I42" s="19" t="n"/>
    </row>
    <row r="43">
      <c r="A43" s="19" t="inlineStr">
        <is>
          <t>N° 100</t>
        </is>
      </c>
      <c r="B43" s="24" t="n">
        <v>0.149</v>
      </c>
      <c r="C43" s="19" t="n"/>
      <c r="D43" s="25">
        <f>IF(AND(N(F17)&gt;0,N(B17)&gt;0,ISNUMBER(C43)),IFERROR(C43/F17*(B17-B18)/B17*100,0),"")</f>
        <v/>
      </c>
      <c r="E43" s="25">
        <f>IF(ISNUMBER(D43),E42+D43,E42)</f>
        <v/>
      </c>
      <c r="F43" s="25">
        <f>100-E43</f>
        <v/>
      </c>
      <c r="G43" s="19" t="n"/>
      <c r="H43" s="19" t="n"/>
      <c r="I43" s="19" t="n"/>
    </row>
    <row r="44">
      <c r="A44" s="19" t="inlineStr">
        <is>
          <t>N° 140</t>
        </is>
      </c>
      <c r="B44" s="24" t="n">
        <v>0.106</v>
      </c>
      <c r="C44" s="19" t="n"/>
      <c r="D44" s="25">
        <f>IF(AND(N(F17)&gt;0,N(B17)&gt;0,ISNUMBER(C44)),IFERROR(C44/F17*(B17-B18)/B17*100,0),"")</f>
        <v/>
      </c>
      <c r="E44" s="25">
        <f>IF(ISNUMBER(D44),E43+D44,E43)</f>
        <v/>
      </c>
      <c r="F44" s="25">
        <f>100-E44</f>
        <v/>
      </c>
      <c r="G44" s="19" t="n"/>
      <c r="H44" s="19" t="n"/>
      <c r="I44" s="19" t="n"/>
    </row>
    <row r="45">
      <c r="A45" s="19" t="inlineStr">
        <is>
          <t>N° 200</t>
        </is>
      </c>
      <c r="B45" s="24" t="n">
        <v>0.075</v>
      </c>
      <c r="C45" s="19" t="n"/>
      <c r="D45" s="25">
        <f>IF(AND(N(F17)&gt;0,N(B17)&gt;0,ISNUMBER(C45)),IFERROR(C45/F17*(B17-B18)/B17*100,0),"")</f>
        <v/>
      </c>
      <c r="E45" s="25">
        <f>IF(ISNUMBER(D45),E44+D45,E44)</f>
        <v/>
      </c>
      <c r="F45" s="25">
        <f>100-E45</f>
        <v/>
      </c>
      <c r="G45" s="19" t="n"/>
      <c r="H45" s="19" t="n"/>
      <c r="I45" s="19" t="n"/>
    </row>
    <row r="46">
      <c r="A46" s="19" t="inlineStr">
        <is>
          <t>&lt; N° 200</t>
        </is>
      </c>
      <c r="B46" s="19" t="n"/>
      <c r="C46" s="26">
        <f>IF(AND(N(F17)&gt;0,N(B17)&gt;0),MAX(F17-SUM(C35:C45),0),"")</f>
        <v/>
      </c>
      <c r="D46" s="25">
        <f>IF(AND(N(F17)&gt;0,N(B17)&gt;0,ISNUMBER(C46)),IFERROR(C46/F17*(B17-B18)/B17*100,0),"")</f>
        <v/>
      </c>
      <c r="E46" s="25">
        <f>IF(ISNUMBER(D46),E45+D46,E45)</f>
        <v/>
      </c>
      <c r="F46" s="25">
        <f>100-E46</f>
        <v/>
      </c>
    </row>
    <row r="47">
      <c r="A47" s="19" t="inlineStr">
        <is>
          <t>Total</t>
        </is>
      </c>
      <c r="B47" s="19" t="n"/>
      <c r="C47" s="26">
        <f>IF(AND(N(B17)&gt;0,ISNUMBER(C25)),SUM(C25:C34)+N(F17),"")</f>
        <v/>
      </c>
      <c r="D47" s="25">
        <f>IF(ISNUMBER(C47),100,"")</f>
        <v/>
      </c>
      <c r="E47" s="25">
        <f>IF(ISNUMBER(D47),SUM(D25:D46),"")</f>
        <v/>
      </c>
      <c r="F47" s="25">
        <f>IF(ISNUMBER(E47),100-E47,"")</f>
        <v/>
      </c>
    </row>
    <row r="49">
      <c r="A49" s="16" t="inlineStr">
        <is>
          <t>RESULTADOS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3" t="inlineStr">
        <is>
          <t>% GRAVA</t>
        </is>
      </c>
      <c r="B50" s="27">
        <f>IF(ISNUMBER(E34),E34,"")</f>
        <v/>
      </c>
      <c r="C50" s="13" t="inlineStr">
        <is>
          <t>% ARENA</t>
        </is>
      </c>
      <c r="D50" s="27">
        <f>IF(AND(ISNUMBER(F34),ISNUMBER(F45)),F34-F45,"")</f>
        <v/>
      </c>
      <c r="E50" s="9" t="n"/>
      <c r="F50" s="13" t="inlineStr">
        <is>
          <t>% FINOS</t>
        </is>
      </c>
      <c r="G50" s="27">
        <f>IF(ISNUMBER(F45),F45,"")</f>
        <v/>
      </c>
      <c r="H50" s="9" t="n"/>
      <c r="I50" s="9" t="n"/>
    </row>
    <row r="51">
      <c r="A51" s="13" t="inlineStr">
        <is>
          <t>TMN</t>
        </is>
      </c>
      <c r="B51" s="28">
        <f>IFERROR(INDEX(A25:A45,MATCH(TRUE,INDEX(E25:E45&gt;0.01,0),0)),"N/A")</f>
        <v/>
      </c>
      <c r="C51" s="9" t="n"/>
    </row>
    <row r="53">
      <c r="A53" s="16" t="inlineStr">
        <is>
          <t>CLASIFICACIÓN SUCS (REFERENCIA)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23" t="inlineStr">
        <is>
          <t>SUCS</t>
        </is>
      </c>
      <c r="B54" s="7" t="n"/>
      <c r="C54" s="23" t="inlineStr">
        <is>
          <t>Descripción</t>
        </is>
      </c>
      <c r="D54" s="7" t="n"/>
      <c r="E54" s="7" t="n"/>
      <c r="F54" s="7" t="n"/>
      <c r="G54" s="7" t="n"/>
      <c r="H54" s="7" t="n"/>
      <c r="I54" s="7" t="n"/>
    </row>
    <row r="55">
      <c r="A55" s="19" t="inlineStr">
        <is>
          <t>GW</t>
        </is>
      </c>
      <c r="B55" s="19" t="n"/>
      <c r="C55" s="29" t="inlineStr">
        <is>
          <t>Gravas bien graduadas, mezclas grava-arena, pocos finos o sin finos.</t>
        </is>
      </c>
      <c r="D55" s="19" t="n"/>
      <c r="E55" s="19" t="n"/>
      <c r="F55" s="19" t="n"/>
      <c r="G55" s="19" t="n"/>
      <c r="H55" s="19" t="n"/>
      <c r="I55" s="19" t="n"/>
    </row>
    <row r="56">
      <c r="A56" s="19" t="inlineStr">
        <is>
          <t>GP</t>
        </is>
      </c>
      <c r="B56" s="19" t="n"/>
      <c r="C56" s="29" t="inlineStr">
        <is>
          <t>Gravas mal graduadas, mezclas grava-arena, pocos finos o sin finos.</t>
        </is>
      </c>
      <c r="D56" s="19" t="n"/>
      <c r="E56" s="19" t="n"/>
      <c r="F56" s="19" t="n"/>
      <c r="G56" s="19" t="n"/>
      <c r="H56" s="19" t="n"/>
      <c r="I56" s="19" t="n"/>
    </row>
    <row r="57">
      <c r="A57" s="19" t="inlineStr">
        <is>
          <t>GM</t>
        </is>
      </c>
      <c r="B57" s="19" t="n"/>
      <c r="C57" s="29" t="inlineStr">
        <is>
          <t>Gravas limosas, mezclas grava-arena-limo.</t>
        </is>
      </c>
      <c r="D57" s="19" t="n"/>
      <c r="E57" s="19" t="n"/>
      <c r="F57" s="19" t="n"/>
      <c r="G57" s="19" t="n"/>
      <c r="H57" s="19" t="n"/>
      <c r="I57" s="19" t="n"/>
    </row>
    <row r="58">
      <c r="A58" s="19" t="inlineStr">
        <is>
          <t>GC</t>
        </is>
      </c>
      <c r="B58" s="19" t="n"/>
      <c r="C58" s="29" t="inlineStr">
        <is>
          <t>Gravas arcillosas, mezclas grava-arena-arcilla.</t>
        </is>
      </c>
      <c r="D58" s="19" t="n"/>
      <c r="E58" s="19" t="n"/>
      <c r="F58" s="19" t="n"/>
      <c r="G58" s="19" t="n"/>
      <c r="H58" s="19" t="n"/>
      <c r="I58" s="19" t="n"/>
    </row>
    <row r="59">
      <c r="A59" s="19" t="inlineStr">
        <is>
          <t>SW</t>
        </is>
      </c>
      <c r="B59" s="19" t="n"/>
      <c r="C59" s="29" t="inlineStr">
        <is>
          <t>Arenas bien graduadas, arenas con grava, pocos finos o sin finos.</t>
        </is>
      </c>
      <c r="D59" s="19" t="n"/>
      <c r="E59" s="19" t="n"/>
      <c r="F59" s="19" t="n"/>
      <c r="G59" s="19" t="n"/>
      <c r="H59" s="19" t="n"/>
      <c r="I59" s="19" t="n"/>
    </row>
    <row r="60">
      <c r="A60" s="19" t="inlineStr">
        <is>
          <t>SP</t>
        </is>
      </c>
      <c r="B60" s="19" t="n"/>
      <c r="C60" s="29" t="inlineStr">
        <is>
          <t>Arenas mal graduadas, arenas con grava, pocos finos o sin finos.</t>
        </is>
      </c>
      <c r="D60" s="19" t="n"/>
      <c r="E60" s="19" t="n"/>
      <c r="F60" s="19" t="n"/>
      <c r="G60" s="19" t="n"/>
      <c r="H60" s="19" t="n"/>
      <c r="I60" s="19" t="n"/>
    </row>
    <row r="61">
      <c r="A61" s="19" t="inlineStr">
        <is>
          <t>SM</t>
        </is>
      </c>
      <c r="B61" s="19" t="n"/>
      <c r="C61" s="29" t="inlineStr">
        <is>
          <t>Arenas limosas, mezclas de arena y limo.</t>
        </is>
      </c>
      <c r="D61" s="19" t="n"/>
      <c r="E61" s="19" t="n"/>
      <c r="F61" s="19" t="n"/>
      <c r="G61" s="19" t="n"/>
      <c r="H61" s="19" t="n"/>
      <c r="I61" s="19" t="n"/>
    </row>
    <row r="62">
      <c r="A62" s="19" t="inlineStr">
        <is>
          <t>SC</t>
        </is>
      </c>
      <c r="B62" s="19" t="n"/>
      <c r="C62" s="29" t="inlineStr">
        <is>
          <t>Arenas arcillosas, mezclas de arena y arcilla.</t>
        </is>
      </c>
      <c r="D62" s="19" t="n"/>
      <c r="E62" s="19" t="n"/>
      <c r="F62" s="19" t="n"/>
      <c r="G62" s="19" t="n"/>
      <c r="H62" s="19" t="n"/>
      <c r="I62" s="19" t="n"/>
    </row>
    <row r="63">
      <c r="A63" s="19" t="inlineStr">
        <is>
          <t>ML</t>
        </is>
      </c>
      <c r="B63" s="19" t="n"/>
      <c r="C63" s="29" t="inlineStr">
        <is>
          <t>Limos inorgánicos y arenas muy finas, limos limpios, arenas finas, limosas o arcillosas.</t>
        </is>
      </c>
      <c r="D63" s="19" t="n"/>
      <c r="E63" s="19" t="n"/>
      <c r="F63" s="19" t="n"/>
      <c r="G63" s="19" t="n"/>
      <c r="H63" s="19" t="n"/>
      <c r="I63" s="19" t="n"/>
    </row>
    <row r="64">
      <c r="A64" s="19" t="inlineStr">
        <is>
          <t>CL</t>
        </is>
      </c>
      <c r="B64" s="19" t="n"/>
      <c r="C64" s="29" t="inlineStr">
        <is>
          <t>Arcillas inorgánicas de plasticidad baja a media, arcillas con grava, arcillas arenosas.</t>
        </is>
      </c>
      <c r="D64" s="19" t="n"/>
      <c r="E64" s="19" t="n"/>
      <c r="F64" s="19" t="n"/>
      <c r="G64" s="19" t="n"/>
      <c r="H64" s="19" t="n"/>
      <c r="I64" s="19" t="n"/>
    </row>
    <row r="65">
      <c r="A65" s="19" t="inlineStr">
        <is>
          <t>OL</t>
        </is>
      </c>
      <c r="B65" s="19" t="n"/>
      <c r="C65" s="29" t="inlineStr">
        <is>
          <t>Limos orgánicos y arcillas orgánicas limosas de baja plasticidad.</t>
        </is>
      </c>
      <c r="D65" s="19" t="n"/>
      <c r="E65" s="19" t="n"/>
      <c r="F65" s="19" t="n"/>
      <c r="G65" s="19" t="n"/>
      <c r="H65" s="19" t="n"/>
      <c r="I65" s="19" t="n"/>
    </row>
    <row r="66">
      <c r="A66" s="19" t="inlineStr">
        <is>
          <t>MH</t>
        </is>
      </c>
      <c r="B66" s="19" t="n"/>
      <c r="C66" s="29" t="inlineStr">
        <is>
          <t>Limos inorgánicos, suelos arenosos finos o limosos con mica o diatomeas.</t>
        </is>
      </c>
      <c r="D66" s="19" t="n"/>
      <c r="E66" s="19" t="n"/>
      <c r="F66" s="19" t="n"/>
      <c r="G66" s="19" t="n"/>
      <c r="H66" s="19" t="n"/>
      <c r="I66" s="19" t="n"/>
    </row>
    <row r="67">
      <c r="A67" s="19" t="inlineStr">
        <is>
          <t>CH</t>
        </is>
      </c>
      <c r="B67" s="19" t="n"/>
      <c r="C67" s="29" t="inlineStr">
        <is>
          <t>Arcillas inorgánicas de plasticidad alta.</t>
        </is>
      </c>
      <c r="D67" s="19" t="n"/>
      <c r="E67" s="19" t="n"/>
      <c r="F67" s="19" t="n"/>
      <c r="G67" s="19" t="n"/>
      <c r="H67" s="19" t="n"/>
      <c r="I67" s="19" t="n"/>
    </row>
    <row r="68">
      <c r="A68" s="19" t="inlineStr">
        <is>
          <t>OH</t>
        </is>
      </c>
      <c r="B68" s="19" t="n"/>
      <c r="C68" s="29" t="inlineStr">
        <is>
          <t>Arcillas orgánicas de plasticidad media a alta.</t>
        </is>
      </c>
      <c r="D68" s="19" t="n"/>
      <c r="E68" s="19" t="n"/>
      <c r="F68" s="19" t="n"/>
      <c r="G68" s="19" t="n"/>
      <c r="H68" s="19" t="n"/>
      <c r="I68" s="19" t="n"/>
    </row>
    <row r="70">
      <c r="A70" s="16" t="inlineStr">
        <is>
          <t>CURVA GRANULOMÉTRICA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</row>
    <row r="102">
      <c r="A102" s="31" t="inlineStr">
        <is>
          <t>ESP. ENSAYOS GEOTECNICOS</t>
        </is>
      </c>
      <c r="D102" s="31" t="inlineStr">
        <is>
          <t>ESP. SUELOS Y PAVIMENTOS</t>
        </is>
      </c>
      <c r="G102" s="31" t="inlineStr">
        <is>
          <t>SUPERVISOR</t>
        </is>
      </c>
    </row>
  </sheetData>
  <mergeCells count="69">
    <mergeCell ref="A8"/>
    <mergeCell ref="E12:F12"/>
    <mergeCell ref="D20:E20"/>
    <mergeCell ref="C61:I61"/>
    <mergeCell ref="A64:B64"/>
    <mergeCell ref="A59:B59"/>
    <mergeCell ref="C6:G6"/>
    <mergeCell ref="D19:E19"/>
    <mergeCell ref="A60:B60"/>
    <mergeCell ref="F19:G19"/>
    <mergeCell ref="C5:G5"/>
    <mergeCell ref="C3:G3"/>
    <mergeCell ref="B18:C18"/>
    <mergeCell ref="D50:E50"/>
    <mergeCell ref="C67:I67"/>
    <mergeCell ref="A61:B61"/>
    <mergeCell ref="C57:I57"/>
    <mergeCell ref="C66:I66"/>
    <mergeCell ref="C4:G4"/>
    <mergeCell ref="B21:I21"/>
    <mergeCell ref="A54:B54"/>
    <mergeCell ref="A65:B65"/>
    <mergeCell ref="D102:F102"/>
    <mergeCell ref="C1:G1"/>
    <mergeCell ref="F20:G20"/>
    <mergeCell ref="F18:G18"/>
    <mergeCell ref="A23:I23"/>
    <mergeCell ref="A66:B66"/>
    <mergeCell ref="C62:I62"/>
    <mergeCell ref="C68:I68"/>
    <mergeCell ref="B17:C17"/>
    <mergeCell ref="A53:I53"/>
    <mergeCell ref="A56:B56"/>
    <mergeCell ref="D17:E17"/>
    <mergeCell ref="B8:I8"/>
    <mergeCell ref="F17:G17"/>
    <mergeCell ref="A55:B55"/>
    <mergeCell ref="C58:I58"/>
    <mergeCell ref="G50:I50"/>
    <mergeCell ref="A102:C102"/>
    <mergeCell ref="A57:B57"/>
    <mergeCell ref="C64:I64"/>
    <mergeCell ref="C2:G2"/>
    <mergeCell ref="B19:C19"/>
    <mergeCell ref="B10:I10"/>
    <mergeCell ref="F24:I24"/>
    <mergeCell ref="G102:I102"/>
    <mergeCell ref="G12:I12"/>
    <mergeCell ref="F13:G13"/>
    <mergeCell ref="D18:E18"/>
    <mergeCell ref="C54:I54"/>
    <mergeCell ref="C63:I63"/>
    <mergeCell ref="C65:I65"/>
    <mergeCell ref="C55:I55"/>
    <mergeCell ref="A62:B62"/>
    <mergeCell ref="A49:I49"/>
    <mergeCell ref="C56:I56"/>
    <mergeCell ref="B51:C51"/>
    <mergeCell ref="B20:C20"/>
    <mergeCell ref="A63:B63"/>
    <mergeCell ref="C59:I59"/>
    <mergeCell ref="A68:B68"/>
    <mergeCell ref="A70:I70"/>
    <mergeCell ref="C13:D13"/>
    <mergeCell ref="C60:I60"/>
    <mergeCell ref="B12:D12"/>
    <mergeCell ref="A67:B67"/>
    <mergeCell ref="A58:B58"/>
    <mergeCell ref="A16:I16"/>
  </mergeCells>
  <pageMargins left="0.35" right="0.35" top="0.45" bottom="0.45" header="0.5" footer="0.5"/>
  <pageSetup orientation="portrait" paperSize="9" fitToHeight="0" fitToWidth="1"/>
  <rowBreaks count="1" manualBreakCount="1">
    <brk id="5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23"/>
  <sheetViews>
    <sheetView workbookViewId="0">
      <selection activeCell="A1" sqref="A1"/>
    </sheetView>
  </sheetViews>
  <sheetFormatPr baseColWidth="8" defaultRowHeight="15"/>
  <sheetData>
    <row r="3">
      <c r="A3" t="n">
        <v>75</v>
      </c>
      <c r="B3">
        <f>IF(ISNUMBER(Reporte!F25),Reporte!F25,NA())</f>
        <v/>
      </c>
    </row>
    <row r="4">
      <c r="A4" t="n">
        <v>62.9</v>
      </c>
      <c r="B4">
        <f>IF(ISNUMBER(Reporte!F26),Reporte!F26,NA())</f>
        <v/>
      </c>
    </row>
    <row r="5">
      <c r="A5" t="n">
        <v>50.8</v>
      </c>
      <c r="B5">
        <f>IF(ISNUMBER(Reporte!F27),Reporte!F27,NA())</f>
        <v/>
      </c>
    </row>
    <row r="6">
      <c r="A6" t="n">
        <v>38.1</v>
      </c>
      <c r="B6">
        <f>IF(ISNUMBER(Reporte!F28),Reporte!F28,NA())</f>
        <v/>
      </c>
    </row>
    <row r="7">
      <c r="A7" t="n">
        <v>25.4</v>
      </c>
      <c r="B7">
        <f>IF(ISNUMBER(Reporte!F29),Reporte!F29,NA())</f>
        <v/>
      </c>
    </row>
    <row r="8">
      <c r="A8" t="n">
        <v>19</v>
      </c>
      <c r="B8">
        <f>IF(ISNUMBER(Reporte!F30),Reporte!F30,NA())</f>
        <v/>
      </c>
    </row>
    <row r="9">
      <c r="A9" t="n">
        <v>12.7</v>
      </c>
      <c r="B9">
        <f>IF(ISNUMBER(Reporte!F31),Reporte!F31,NA())</f>
        <v/>
      </c>
    </row>
    <row r="10">
      <c r="A10" t="n">
        <v>9.5</v>
      </c>
      <c r="B10">
        <f>IF(ISNUMBER(Reporte!F32),Reporte!F32,NA())</f>
        <v/>
      </c>
    </row>
    <row r="11">
      <c r="A11" t="n">
        <v>6.3</v>
      </c>
      <c r="B11">
        <f>IF(ISNUMBER(Reporte!F33),Reporte!F33,NA())</f>
        <v/>
      </c>
    </row>
    <row r="12">
      <c r="A12" t="n">
        <v>4.76</v>
      </c>
      <c r="B12">
        <f>IF(ISNUMBER(Reporte!F34),Reporte!F34,NA())</f>
        <v/>
      </c>
    </row>
    <row r="13">
      <c r="A13" t="n">
        <v>2.36</v>
      </c>
      <c r="B13">
        <f>IF(ISNUMBER(Reporte!F35),Reporte!F35,NA())</f>
        <v/>
      </c>
    </row>
    <row r="14">
      <c r="A14" t="n">
        <v>2</v>
      </c>
      <c r="B14">
        <f>IF(ISNUMBER(Reporte!F36),Reporte!F36,NA())</f>
        <v/>
      </c>
    </row>
    <row r="15">
      <c r="A15" t="n">
        <v>1.1</v>
      </c>
      <c r="B15">
        <f>IF(ISNUMBER(Reporte!F37),Reporte!F37,NA())</f>
        <v/>
      </c>
    </row>
    <row r="16">
      <c r="A16" t="n">
        <v>0.85</v>
      </c>
      <c r="B16">
        <f>IF(ISNUMBER(Reporte!F38),Reporte!F38,NA())</f>
        <v/>
      </c>
    </row>
    <row r="17">
      <c r="A17" t="n">
        <v>0.59</v>
      </c>
      <c r="B17">
        <f>IF(ISNUMBER(Reporte!F39),Reporte!F39,NA())</f>
        <v/>
      </c>
    </row>
    <row r="18">
      <c r="A18" t="n">
        <v>0.425</v>
      </c>
      <c r="B18">
        <f>IF(ISNUMBER(Reporte!F40),Reporte!F40,NA())</f>
        <v/>
      </c>
    </row>
    <row r="19">
      <c r="A19" t="n">
        <v>0.297</v>
      </c>
      <c r="B19">
        <f>IF(ISNUMBER(Reporte!F41),Reporte!F41,NA())</f>
        <v/>
      </c>
    </row>
    <row r="20">
      <c r="A20" t="n">
        <v>0.25</v>
      </c>
      <c r="B20">
        <f>IF(ISNUMBER(Reporte!F42),Reporte!F42,NA())</f>
        <v/>
      </c>
    </row>
    <row r="21">
      <c r="A21" t="n">
        <v>0.149</v>
      </c>
      <c r="B21">
        <f>IF(ISNUMBER(Reporte!F43),Reporte!F43,NA())</f>
        <v/>
      </c>
    </row>
    <row r="22">
      <c r="A22" t="n">
        <v>0.106</v>
      </c>
      <c r="B22">
        <f>IF(ISNUMBER(Reporte!F44),Reporte!F44,NA())</f>
        <v/>
      </c>
    </row>
    <row r="23">
      <c r="A23" t="n">
        <v>0.075</v>
      </c>
      <c r="B23">
        <f>IF(ISNUMBER(Reporte!F45),Reporte!F45,NA())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tipo</t>
        </is>
      </c>
      <c r="D1" t="inlineStr">
        <is>
          <t>ancla</t>
        </is>
      </c>
      <c r="E1" t="inlineStr">
        <is>
          <t>ancho_px</t>
        </is>
      </c>
      <c r="F1" t="inlineStr">
        <is>
          <t>alto_px</t>
        </is>
      </c>
      <c r="G1" t="inlineStr">
        <is>
          <t>x_log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titulo_x</t>
        </is>
      </c>
      <c r="M1" t="inlineStr">
        <is>
          <t>titulo_y</t>
        </is>
      </c>
      <c r="N1" t="inlineStr">
        <is>
          <t>serie</t>
        </is>
      </c>
      <c r="O1" t="inlineStr">
        <is>
          <t>estilo</t>
        </is>
      </c>
      <c r="P1" t="inlineStr">
        <is>
          <t>rango_x</t>
        </is>
      </c>
      <c r="Q1" t="inlineStr">
        <is>
          <t>rango_y</t>
        </is>
      </c>
      <c r="R1" t="inlineStr">
        <is>
          <t>color</t>
        </is>
      </c>
      <c r="S1" t="inlineStr">
        <is>
          <t>orden</t>
        </is>
      </c>
    </row>
    <row r="2">
      <c r="A2" t="inlineStr">
        <is>
          <t>curva_granulometrica</t>
        </is>
      </c>
      <c r="B2" t="inlineStr">
        <is>
          <t>Curva Granulométrica</t>
        </is>
      </c>
      <c r="C2" t="inlineStr">
        <is>
          <t>xy</t>
        </is>
      </c>
      <c r="D2" t="inlineStr">
        <is>
          <t>A71</t>
        </is>
      </c>
      <c r="E2" t="n">
        <v>620</v>
      </c>
      <c r="F2" t="n">
        <v>480</v>
      </c>
      <c r="G2" t="inlineStr">
        <is>
          <t>SI</t>
        </is>
      </c>
      <c r="H2" t="n">
        <v>0.01</v>
      </c>
      <c r="I2" t="n">
        <v>100</v>
      </c>
      <c r="J2" t="n">
        <v>0</v>
      </c>
      <c r="K2" t="n">
        <v>100</v>
      </c>
      <c r="L2" t="inlineStr">
        <is>
          <t>Abertura de Tamiz (mm)</t>
        </is>
      </c>
      <c r="M2" t="inlineStr">
        <is>
          <t>% que Pasa</t>
        </is>
      </c>
      <c r="N2" t="inlineStr">
        <is>
          <t>Curva Granulométrica</t>
        </is>
      </c>
      <c r="O2" t="inlineStr">
        <is>
          <t>linea_suave</t>
        </is>
      </c>
      <c r="P2" t="inlineStr">
        <is>
          <t>'_DATOS'!$A$3:$A$23</t>
        </is>
      </c>
      <c r="Q2" t="inlineStr">
        <is>
          <t>'_DATOS'!$B$3:$B$23</t>
        </is>
      </c>
      <c r="R2" t="inlineStr">
        <is>
          <t>1E40AF</t>
        </is>
      </c>
      <c r="S2" t="n">
        <v>1</v>
      </c>
    </row>
    <row r="3">
      <c r="A3" t="inlineStr">
        <is>
          <t>curva_granulometrica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Tamices</t>
        </is>
      </c>
      <c r="O3" t="inlineStr">
        <is>
          <t>marcador</t>
        </is>
      </c>
      <c r="P3" t="inlineStr">
        <is>
          <t>'_DATOS'!$A$3:$A$23</t>
        </is>
      </c>
      <c r="Q3" t="inlineStr">
        <is>
          <t>'_DATOS'!$B$3:$B$23</t>
        </is>
      </c>
      <c r="R3" t="inlineStr">
        <is>
          <t>1E40AF</t>
        </is>
      </c>
      <c r="S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4A3B8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celda</t>
        </is>
      </c>
      <c r="C1" t="inlineStr">
        <is>
          <t>tipo</t>
        </is>
      </c>
      <c r="D1" t="inlineStr">
        <is>
          <t>formato</t>
        </is>
      </c>
    </row>
    <row r="2">
      <c r="A2" t="inlineStr">
        <is>
          <t>meta.codigo_ensayo</t>
        </is>
      </c>
      <c r="B2" t="inlineStr">
        <is>
          <t>B8</t>
        </is>
      </c>
      <c r="C2" t="inlineStr">
        <is>
          <t>texto</t>
        </is>
      </c>
    </row>
    <row r="3">
      <c r="A3" t="inlineStr">
        <is>
          <t>meta.proyecto_nombre</t>
        </is>
      </c>
      <c r="B3" t="inlineStr">
        <is>
          <t>B10</t>
        </is>
      </c>
      <c r="C3" t="inlineStr">
        <is>
          <t>texto</t>
        </is>
      </c>
    </row>
    <row r="4">
      <c r="A4" t="inlineStr">
        <is>
          <t>meta.tramo_nombre</t>
        </is>
      </c>
      <c r="B4" t="inlineStr">
        <is>
          <t>C11</t>
        </is>
      </c>
      <c r="C4" t="inlineStr">
        <is>
          <t>texto</t>
        </is>
      </c>
    </row>
    <row r="5">
      <c r="A5" t="inlineStr">
        <is>
          <t>meta.distrito</t>
        </is>
      </c>
      <c r="B5" t="inlineStr">
        <is>
          <t>E11</t>
        </is>
      </c>
      <c r="C5" t="inlineStr">
        <is>
          <t>texto</t>
        </is>
      </c>
    </row>
    <row r="6">
      <c r="A6" t="inlineStr">
        <is>
          <t>meta.provincia</t>
        </is>
      </c>
      <c r="B6" t="inlineStr">
        <is>
          <t>G11</t>
        </is>
      </c>
      <c r="C6" t="inlineStr">
        <is>
          <t>texto</t>
        </is>
      </c>
    </row>
    <row r="7">
      <c r="A7" t="inlineStr">
        <is>
          <t>meta.departamento</t>
        </is>
      </c>
      <c r="B7" t="inlineStr">
        <is>
          <t>I11</t>
        </is>
      </c>
      <c r="C7" t="inlineStr">
        <is>
          <t>texto</t>
        </is>
      </c>
    </row>
    <row r="8">
      <c r="A8" t="inlineStr">
        <is>
          <t>meta.solicitante</t>
        </is>
      </c>
      <c r="B8" t="inlineStr">
        <is>
          <t>B12</t>
        </is>
      </c>
      <c r="C8" t="inlineStr">
        <is>
          <t>texto</t>
        </is>
      </c>
    </row>
    <row r="9">
      <c r="A9" t="inlineStr">
        <is>
          <t>meta.fecha_muestreo</t>
        </is>
      </c>
      <c r="B9" t="inlineStr">
        <is>
          <t>G12</t>
        </is>
      </c>
      <c r="C9" t="inlineStr">
        <is>
          <t>fecha</t>
        </is>
      </c>
      <c r="D9" t="inlineStr">
        <is>
          <t>dddd d" de "mmmm" de "yyyy</t>
        </is>
      </c>
    </row>
    <row r="10">
      <c r="A10" t="inlineStr">
        <is>
          <t>meta.coordenada_este</t>
        </is>
      </c>
      <c r="B10" t="inlineStr">
        <is>
          <t>C13</t>
        </is>
      </c>
      <c r="C10" t="inlineStr">
        <is>
          <t>numero</t>
        </is>
      </c>
      <c r="D10" t="inlineStr">
        <is>
          <t>0.00</t>
        </is>
      </c>
    </row>
    <row r="11">
      <c r="A11" t="inlineStr">
        <is>
          <t>meta.coordenada_norte</t>
        </is>
      </c>
      <c r="B11" t="inlineStr">
        <is>
          <t>F13</t>
        </is>
      </c>
      <c r="C11" t="inlineStr">
        <is>
          <t>numero</t>
        </is>
      </c>
      <c r="D11" t="inlineStr">
        <is>
          <t>0.00</t>
        </is>
      </c>
    </row>
    <row r="12">
      <c r="A12" t="inlineStr">
        <is>
          <t>meta.profundidad</t>
        </is>
      </c>
      <c r="B12" t="inlineStr">
        <is>
          <t>I13</t>
        </is>
      </c>
      <c r="C12" t="inlineStr">
        <is>
          <t>texto</t>
        </is>
      </c>
    </row>
    <row r="13">
      <c r="A13" t="inlineStr">
        <is>
          <t>meta.calicata</t>
        </is>
      </c>
      <c r="B13" t="inlineStr">
        <is>
          <t>C14</t>
        </is>
      </c>
      <c r="C13" t="inlineStr">
        <is>
          <t>texto</t>
        </is>
      </c>
    </row>
    <row r="14">
      <c r="A14" t="inlineStr">
        <is>
          <t>meta.progresiva</t>
        </is>
      </c>
      <c r="B14" t="inlineStr">
        <is>
          <t>E14</t>
        </is>
      </c>
      <c r="C14" t="inlineStr">
        <is>
          <t>texto</t>
        </is>
      </c>
    </row>
    <row r="15">
      <c r="A15" t="inlineStr">
        <is>
          <t>meta.estrato</t>
        </is>
      </c>
      <c r="B15" t="inlineStr">
        <is>
          <t>G14</t>
        </is>
      </c>
      <c r="C15" t="inlineStr">
        <is>
          <t>texto</t>
        </is>
      </c>
    </row>
    <row r="16">
      <c r="A16" t="inlineStr">
        <is>
          <t>meta.lado</t>
        </is>
      </c>
      <c r="B16" t="inlineStr">
        <is>
          <t>I14</t>
        </is>
      </c>
      <c r="C16" t="inlineStr">
        <is>
          <t>texto</t>
        </is>
      </c>
    </row>
    <row r="17">
      <c r="A17" t="inlineStr">
        <is>
          <t>datos.general_fields.peso_total</t>
        </is>
      </c>
      <c r="B17" t="inlineStr">
        <is>
          <t>B17</t>
        </is>
      </c>
      <c r="C17" t="inlineStr">
        <is>
          <t>numero</t>
        </is>
      </c>
      <c r="D17" t="inlineStr">
        <is>
          <t>0.00</t>
        </is>
      </c>
    </row>
    <row r="18">
      <c r="A18" t="inlineStr">
        <is>
          <t>datos.general_fields.peso_fina_tamizada</t>
        </is>
      </c>
      <c r="B18" t="inlineStr">
        <is>
          <t>F17</t>
        </is>
      </c>
      <c r="C18" t="inlineStr">
        <is>
          <t>numero</t>
        </is>
      </c>
      <c r="D18" t="inlineStr">
        <is>
          <t>0.00</t>
        </is>
      </c>
    </row>
    <row r="19">
      <c r="A19" t="inlineStr">
        <is>
          <t>datos.general_fields.limite_liquido</t>
        </is>
      </c>
      <c r="B19" t="inlineStr">
        <is>
          <t>B20</t>
        </is>
      </c>
      <c r="C19" t="inlineStr">
        <is>
          <t>numero</t>
        </is>
      </c>
      <c r="D19" t="inlineStr">
        <is>
          <t>0.00</t>
        </is>
      </c>
    </row>
    <row r="20">
      <c r="A20" t="inlineStr">
        <is>
          <t>datos.general_fields.indice_plasticidad</t>
        </is>
      </c>
      <c r="B20" t="inlineStr">
        <is>
          <t>F20</t>
        </is>
      </c>
      <c r="C20" t="inlineStr">
        <is>
          <t>numero</t>
        </is>
      </c>
      <c r="D20" t="inlineStr">
        <is>
          <t>0.00</t>
        </is>
      </c>
    </row>
    <row r="21">
      <c r="A21" t="inlineStr">
        <is>
          <t>datos.general_fields.gradacion</t>
        </is>
      </c>
      <c r="B21" t="inlineStr">
        <is>
          <t>B21</t>
        </is>
      </c>
      <c r="C21" t="inlineStr">
        <is>
          <t>texto</t>
        </is>
      </c>
    </row>
    <row r="22">
      <c r="A22" t="inlineStr">
        <is>
          <t>datos.tables.granulometria.malla_3p.retenido</t>
        </is>
      </c>
      <c r="B22" t="inlineStr">
        <is>
          <t>C25</t>
        </is>
      </c>
      <c r="C22" t="inlineStr">
        <is>
          <t>numero</t>
        </is>
      </c>
      <c r="D22" t="inlineStr">
        <is>
          <t>0.00</t>
        </is>
      </c>
    </row>
    <row r="23">
      <c r="A23" t="inlineStr">
        <is>
          <t>datos.tables.granulometria.malla_2p5.retenido</t>
        </is>
      </c>
      <c r="B23" t="inlineStr">
        <is>
          <t>C26</t>
        </is>
      </c>
      <c r="C23" t="inlineStr">
        <is>
          <t>numero</t>
        </is>
      </c>
      <c r="D23" t="inlineStr">
        <is>
          <t>0.00</t>
        </is>
      </c>
    </row>
    <row r="24">
      <c r="A24" t="inlineStr">
        <is>
          <t>datos.tables.granulometria.malla_2p.retenido</t>
        </is>
      </c>
      <c r="B24" t="inlineStr">
        <is>
          <t>C27</t>
        </is>
      </c>
      <c r="C24" t="inlineStr">
        <is>
          <t>numero</t>
        </is>
      </c>
      <c r="D24" t="inlineStr">
        <is>
          <t>0.00</t>
        </is>
      </c>
    </row>
    <row r="25">
      <c r="A25" t="inlineStr">
        <is>
          <t>datos.tables.granulometria.malla_1p5.retenido</t>
        </is>
      </c>
      <c r="B25" t="inlineStr">
        <is>
          <t>C28</t>
        </is>
      </c>
      <c r="C25" t="inlineStr">
        <is>
          <t>numero</t>
        </is>
      </c>
      <c r="D25" t="inlineStr">
        <is>
          <t>0.00</t>
        </is>
      </c>
    </row>
    <row r="26">
      <c r="A26" t="inlineStr">
        <is>
          <t>datos.tables.granulometria.malla_1p.retenido</t>
        </is>
      </c>
      <c r="B26" t="inlineStr">
        <is>
          <t>C29</t>
        </is>
      </c>
      <c r="C26" t="inlineStr">
        <is>
          <t>numero</t>
        </is>
      </c>
      <c r="D26" t="inlineStr">
        <is>
          <t>0.00</t>
        </is>
      </c>
    </row>
    <row r="27">
      <c r="A27" t="inlineStr">
        <is>
          <t>datos.tables.granulometria.malla_3p4.retenido</t>
        </is>
      </c>
      <c r="B27" t="inlineStr">
        <is>
          <t>C30</t>
        </is>
      </c>
      <c r="C27" t="inlineStr">
        <is>
          <t>numero</t>
        </is>
      </c>
      <c r="D27" t="inlineStr">
        <is>
          <t>0.00</t>
        </is>
      </c>
    </row>
    <row r="28">
      <c r="A28" t="inlineStr">
        <is>
          <t>datos.tables.granulometria.malla_1p2.retenido</t>
        </is>
      </c>
      <c r="B28" t="inlineStr">
        <is>
          <t>C31</t>
        </is>
      </c>
      <c r="C28" t="inlineStr">
        <is>
          <t>numero</t>
        </is>
      </c>
      <c r="D28" t="inlineStr">
        <is>
          <t>0.00</t>
        </is>
      </c>
    </row>
    <row r="29">
      <c r="A29" t="inlineStr">
        <is>
          <t>datos.tables.granulometria.malla_3p8.retenido</t>
        </is>
      </c>
      <c r="B29" t="inlineStr">
        <is>
          <t>C32</t>
        </is>
      </c>
      <c r="C29" t="inlineStr">
        <is>
          <t>numero</t>
        </is>
      </c>
      <c r="D29" t="inlineStr">
        <is>
          <t>0.00</t>
        </is>
      </c>
    </row>
    <row r="30">
      <c r="A30" t="inlineStr">
        <is>
          <t>datos.tables.granulometria.malla_1p4.retenido</t>
        </is>
      </c>
      <c r="B30" t="inlineStr">
        <is>
          <t>C33</t>
        </is>
      </c>
      <c r="C30" t="inlineStr">
        <is>
          <t>numero</t>
        </is>
      </c>
      <c r="D30" t="inlineStr">
        <is>
          <t>0.00</t>
        </is>
      </c>
    </row>
    <row r="31">
      <c r="A31" t="inlineStr">
        <is>
          <t>datos.tables.granulometria.malla_04.retenido</t>
        </is>
      </c>
      <c r="B31" t="inlineStr">
        <is>
          <t>C34</t>
        </is>
      </c>
      <c r="C31" t="inlineStr">
        <is>
          <t>numero</t>
        </is>
      </c>
      <c r="D31" t="inlineStr">
        <is>
          <t>0.00</t>
        </is>
      </c>
    </row>
    <row r="32">
      <c r="A32" t="inlineStr">
        <is>
          <t>datos.tables.granulometria.malla_08.retenido</t>
        </is>
      </c>
      <c r="B32" t="inlineStr">
        <is>
          <t>C35</t>
        </is>
      </c>
      <c r="C32" t="inlineStr">
        <is>
          <t>numero</t>
        </is>
      </c>
      <c r="D32" t="inlineStr">
        <is>
          <t>0.00</t>
        </is>
      </c>
    </row>
    <row r="33">
      <c r="A33" t="inlineStr">
        <is>
          <t>datos.tables.granulometria.malla_10.retenido</t>
        </is>
      </c>
      <c r="B33" t="inlineStr">
        <is>
          <t>C36</t>
        </is>
      </c>
      <c r="C33" t="inlineStr">
        <is>
          <t>numero</t>
        </is>
      </c>
      <c r="D33" t="inlineStr">
        <is>
          <t>0.00</t>
        </is>
      </c>
    </row>
    <row r="34">
      <c r="A34" t="inlineStr">
        <is>
          <t>datos.tables.granulometria.malla_16.retenido</t>
        </is>
      </c>
      <c r="B34" t="inlineStr">
        <is>
          <t>C37</t>
        </is>
      </c>
      <c r="C34" t="inlineStr">
        <is>
          <t>numero</t>
        </is>
      </c>
      <c r="D34" t="inlineStr">
        <is>
          <t>0.00</t>
        </is>
      </c>
    </row>
    <row r="35">
      <c r="A35" t="inlineStr">
        <is>
          <t>datos.tables.granulometria.malla_20.retenido</t>
        </is>
      </c>
      <c r="B35" t="inlineStr">
        <is>
          <t>C38</t>
        </is>
      </c>
      <c r="C35" t="inlineStr">
        <is>
          <t>numero</t>
        </is>
      </c>
      <c r="D35" t="inlineStr">
        <is>
          <t>0.00</t>
        </is>
      </c>
    </row>
    <row r="36">
      <c r="A36" t="inlineStr">
        <is>
          <t>datos.tables.granulometria.malla_30.retenido</t>
        </is>
      </c>
      <c r="B36" t="inlineStr">
        <is>
          <t>C39</t>
        </is>
      </c>
      <c r="C36" t="inlineStr">
        <is>
          <t>numero</t>
        </is>
      </c>
      <c r="D36" t="inlineStr">
        <is>
          <t>0.00</t>
        </is>
      </c>
    </row>
    <row r="37">
      <c r="A37" t="inlineStr">
        <is>
          <t>datos.tables.granulometria.malla_40.retenido</t>
        </is>
      </c>
      <c r="B37" t="inlineStr">
        <is>
          <t>C40</t>
        </is>
      </c>
      <c r="C37" t="inlineStr">
        <is>
          <t>numero</t>
        </is>
      </c>
      <c r="D37" t="inlineStr">
        <is>
          <t>0.00</t>
        </is>
      </c>
    </row>
    <row r="38">
      <c r="A38" t="inlineStr">
        <is>
          <t>datos.tables.granulometria.malla_50.retenido</t>
        </is>
      </c>
      <c r="B38" t="inlineStr">
        <is>
          <t>C41</t>
        </is>
      </c>
      <c r="C38" t="inlineStr">
        <is>
          <t>numero</t>
        </is>
      </c>
      <c r="D38" t="inlineStr">
        <is>
          <t>0.00</t>
        </is>
      </c>
    </row>
    <row r="39">
      <c r="A39" t="inlineStr">
        <is>
          <t>datos.tables.granulometria.malla_60.retenido</t>
        </is>
      </c>
      <c r="B39" t="inlineStr">
        <is>
          <t>C42</t>
        </is>
      </c>
      <c r="C39" t="inlineStr">
        <is>
          <t>numero</t>
        </is>
      </c>
      <c r="D39" t="inlineStr">
        <is>
          <t>0.00</t>
        </is>
      </c>
    </row>
    <row r="40">
      <c r="A40" t="inlineStr">
        <is>
          <t>datos.tables.granulometria.malla_100.retenido</t>
        </is>
      </c>
      <c r="B40" t="inlineStr">
        <is>
          <t>C43</t>
        </is>
      </c>
      <c r="C40" t="inlineStr">
        <is>
          <t>numero</t>
        </is>
      </c>
      <c r="D40" t="inlineStr">
        <is>
          <t>0.00</t>
        </is>
      </c>
    </row>
    <row r="41">
      <c r="A41" t="inlineStr">
        <is>
          <t>datos.tables.granulometria.malla_140.retenido</t>
        </is>
      </c>
      <c r="B41" t="inlineStr">
        <is>
          <t>C44</t>
        </is>
      </c>
      <c r="C41" t="inlineStr">
        <is>
          <t>numero</t>
        </is>
      </c>
      <c r="D41" t="inlineStr">
        <is>
          <t>0.00</t>
        </is>
      </c>
    </row>
    <row r="42">
      <c r="A42" t="inlineStr">
        <is>
          <t>datos.tables.granulometria.malla_200.retenido</t>
        </is>
      </c>
      <c r="B42" t="inlineStr">
        <is>
          <t>C45</t>
        </is>
      </c>
      <c r="C42" t="inlineStr">
        <is>
          <t>numero</t>
        </is>
      </c>
      <c r="D4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2026-09-03T17:38:10Z</dcterms:created>
  <dcterms:modified xsi:type="dcterms:W3CDTF">2026-09-03T17:38:10Z</dcterms:modified>
</cp:coreProperties>
</file>