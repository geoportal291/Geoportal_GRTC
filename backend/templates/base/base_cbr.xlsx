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_GRAFICOS" sheetId="2" state="hidden" r:id="rId2"/>
    <sheet xmlns:r="http://schemas.openxmlformats.org/officeDocument/2006/relationships" name="_MAPA" sheetId="3" state="hidden" r:id="rId3"/>
  </sheets>
  <definedNames>
    <definedName name="_xlnm.Print_Area" localSheetId="0">'Reporte'!$A$1:$I$109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&quot; %&quot;"/>
  </numFmts>
  <fonts count="15">
    <font>
      <name val="Calibri"/>
      <family val="2"/>
      <color theme="1"/>
      <sz val="11"/>
      <scheme val="minor"/>
    </font>
    <font>
      <name val="Calibri"/>
      <b val="1"/>
      <color rgb="00111827"/>
      <sz val="14"/>
    </font>
    <font>
      <name val="Calibri"/>
      <color rgb="001F2937"/>
      <sz val="9"/>
    </font>
    <font>
      <name val="Calibri"/>
      <color rgb="001F2937"/>
      <sz val="8"/>
    </font>
    <font>
      <name val="Calibri"/>
      <i val="1"/>
      <color rgb="00374151"/>
      <sz val="7.5"/>
    </font>
    <font>
      <name val="Calibri"/>
      <b val="1"/>
      <color rgb="00FFFFFF"/>
      <sz val="10"/>
    </font>
    <font>
      <name val="Calibri"/>
      <color rgb="00111827"/>
      <sz val="9"/>
    </font>
    <font>
      <name val="Calibri"/>
      <b val="1"/>
      <color rgb="00FFFFFF"/>
      <sz val="11"/>
    </font>
    <font>
      <name val="Calibri"/>
      <b val="1"/>
      <color rgb="00475569"/>
      <sz val="8"/>
    </font>
    <font>
      <name val="Calibri"/>
      <b val="1"/>
      <color rgb="00111827"/>
      <sz val="10"/>
    </font>
    <font>
      <name val="Calibri"/>
      <b val="1"/>
      <sz val="9"/>
    </font>
    <font>
      <name val="Calibri"/>
      <b val="1"/>
      <color rgb="00FFFFFF"/>
      <sz val="9"/>
    </font>
    <font>
      <name val="Calibri"/>
      <color rgb="001D4ED8"/>
      <sz val="9"/>
    </font>
    <font>
      <name val="Calibri"/>
      <b val="1"/>
      <color rgb="00111827"/>
      <sz val="11"/>
    </font>
    <font>
      <name val="Calibri"/>
      <b val="1"/>
      <color rgb="00334155"/>
      <sz val="8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334155"/>
      </patternFill>
    </fill>
    <fill>
      <patternFill patternType="solid">
        <fgColor rgb="00EEF2F7"/>
      </patternFill>
    </fill>
  </fills>
  <borders count="7">
    <border>
      <left/>
      <right/>
      <top/>
      <bottom/>
      <diagonal/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  <border>
      <left/>
      <right/>
      <top style="thin">
        <color rgb="000F172A"/>
      </top>
      <bottom/>
      <diagonal/>
    </border>
    <border>
      <left/>
      <right style="thin">
        <color rgb="000F172A"/>
      </right>
      <top style="thin">
        <color rgb="000F172A"/>
      </top>
      <bottom/>
      <diagonal/>
    </border>
    <border>
      <left/>
      <right/>
      <top style="thin">
        <color rgb="000F172A"/>
      </top>
      <bottom style="thin">
        <color rgb="000F172A"/>
      </bottom>
      <diagonal/>
    </border>
    <border>
      <left/>
      <right style="thin">
        <color rgb="000F172A"/>
      </right>
      <top style="thin">
        <color rgb="000F172A"/>
      </top>
      <bottom style="thin">
        <color rgb="000F172A"/>
      </bottom>
      <diagonal/>
    </border>
    <border>
      <top style="thin">
        <color rgb="000F172A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164" fontId="12" fillId="7" borderId="1" applyAlignment="1" pivotButton="0" quotePrefix="0" xfId="0">
      <alignment horizontal="center" vertical="center" wrapText="1"/>
    </xf>
    <xf numFmtId="2" fontId="12" fillId="7" borderId="1" applyAlignment="1" pivotButton="0" quotePrefix="0" xfId="0">
      <alignment horizontal="center" vertical="center" wrapText="1"/>
    </xf>
    <xf numFmtId="165" fontId="12" fillId="7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6" fontId="13" fillId="4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Carga - Penetración (MTC E 132)</a:t>
            </a:r>
          </a:p>
        </rich>
      </tx>
    </title>
    <plotArea>
      <scatterChart>
        <varyColors val="0"/>
        <ser>
          <idx val="0"/>
          <order val="0"/>
          <tx>
            <v>M-1</v>
          </tx>
          <spPr>
            <a:ln xmlns:a="http://schemas.openxmlformats.org/drawingml/2006/main" w="24000">
              <a:solidFill>
                <a:srgbClr val="1E40AF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40AF"/>
              </a:solidFill>
              <a:ln xmlns:a="http://schemas.openxmlformats.org/drawingml/2006/main">
                <a:solidFill>
                  <a:srgbClr val="1E40AF"/>
                </a:solidFill>
                <a:prstDash val="solid"/>
              </a:ln>
            </spPr>
          </marker>
          <xVal>
            <numRef>
              <f>'Reporte'!$C$67:$C$64</f>
            </numRef>
          </xVal>
          <yVal>
            <numRef>
              <f>'Reporte'!$E$67:$E$64</f>
            </numRef>
          </yVal>
          <smooth val="0"/>
        </ser>
        <ser>
          <idx val="1"/>
          <order val="1"/>
          <tx>
            <v>M-2</v>
          </tx>
          <spPr>
            <a:ln xmlns:a="http://schemas.openxmlformats.org/drawingml/2006/main" w="24000">
              <a:solidFill>
                <a:srgbClr val="DC262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solidFill>
                  <a:srgbClr val="DC2626"/>
                </a:solidFill>
                <a:prstDash val="solid"/>
              </a:ln>
            </spPr>
          </marker>
          <xVal>
            <numRef>
              <f>'Reporte'!$C$67:$C$64</f>
            </numRef>
          </xVal>
          <yVal>
            <numRef>
              <f>'Reporte'!$G$67:$G$64</f>
            </numRef>
          </yVal>
          <smooth val="0"/>
        </ser>
        <ser>
          <idx val="2"/>
          <order val="2"/>
          <tx>
            <v>M-3</v>
          </tx>
          <spPr>
            <a:ln xmlns:a="http://schemas.openxmlformats.org/drawingml/2006/main" w="24000">
              <a:solidFill>
                <a:srgbClr val="059669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059669"/>
              </a:solidFill>
              <a:ln xmlns:a="http://schemas.openxmlformats.org/drawingml/2006/main">
                <a:solidFill>
                  <a:srgbClr val="059669"/>
                </a:solidFill>
                <a:prstDash val="solid"/>
              </a:ln>
            </spPr>
          </marker>
          <xVal>
            <numRef>
              <f>'Reporte'!$C$67:$C$64</f>
            </numRef>
          </xVal>
          <yVal>
            <numRef>
              <f>'Reporte'!$I$67:$I$64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Penetración (pulg)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Carga (kg)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77</row>
      <rowOff>0</rowOff>
    </from>
    <ext cx="5903999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23825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0</row>
      <rowOff>0</rowOff>
    </from>
    <ext cx="104775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0" customHeight="1">
      <c r="C1" s="1" t="inlineStr">
        <is>
          <t>GOBIERNO REGIONAL CUSCO</t>
        </is>
      </c>
    </row>
    <row r="2" ht="15" customHeight="1">
      <c r="C2" s="2" t="inlineStr">
        <is>
          <t>Gerencia Regional de Transportes y Comunicaciones Cusco</t>
        </is>
      </c>
    </row>
    <row r="3" ht="12" customHeight="1">
      <c r="C3" s="3" t="inlineStr">
        <is>
          <t>SUB GERENCIA DE COBERTURA Y COMUNICACIONES</t>
        </is>
      </c>
    </row>
    <row r="4" ht="12" customHeight="1">
      <c r="C4" s="3" t="inlineStr">
        <is>
          <t>UNIDAD FUNCIONAL ESTUDIOS Y PROYECTOS</t>
        </is>
      </c>
    </row>
    <row r="5" ht="14" customHeight="1">
      <c r="C5" s="2" t="inlineStr">
        <is>
          <t>Laboratorio de Mecánica de Suelos, Materiales y Pavimentos</t>
        </is>
      </c>
    </row>
    <row r="6" ht="12" customHeight="1">
      <c r="C6" s="4" t="inlineStr">
        <is>
          <t>«Año de la recuperación y consolidación de la economía peruana»</t>
        </is>
      </c>
    </row>
    <row r="7" ht="4" customHeight="1"/>
    <row r="8" ht="20" customHeight="1">
      <c r="A8" s="5" t="inlineStr">
        <is>
          <t>CÓDIGO</t>
        </is>
      </c>
      <c r="B8" s="6" t="n"/>
      <c r="C8" s="7" t="n"/>
      <c r="D8" s="7" t="n"/>
      <c r="E8" s="7" t="n"/>
      <c r="F8" s="7" t="n"/>
      <c r="G8" s="7" t="n"/>
      <c r="H8" s="7" t="n"/>
      <c r="I8" s="7" t="n"/>
    </row>
    <row r="9" ht="6" customHeight="1"/>
    <row r="10" ht="20" customHeight="1">
      <c r="A10" s="8" t="inlineStr">
        <is>
          <t>PROYECTO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8" t="inlineStr">
        <is>
          <t>UBICACIÓN</t>
        </is>
      </c>
      <c r="B11" s="8" t="inlineStr">
        <is>
          <t>Lugar:</t>
        </is>
      </c>
      <c r="C11" s="10" t="n"/>
      <c r="D11" s="8" t="inlineStr">
        <is>
          <t>Distrito:</t>
        </is>
      </c>
      <c r="E11" s="10" t="n"/>
      <c r="F11" s="8" t="inlineStr">
        <is>
          <t>Provincia:</t>
        </is>
      </c>
      <c r="G11" s="10" t="n"/>
      <c r="H11" s="8" t="inlineStr">
        <is>
          <t>Dpto:</t>
        </is>
      </c>
      <c r="I11" s="10" t="n"/>
    </row>
    <row r="12" ht="20" customHeight="1">
      <c r="A12" s="8" t="inlineStr">
        <is>
          <t>SOLICITANTE</t>
        </is>
      </c>
      <c r="B12" s="11" t="n"/>
      <c r="C12" s="12" t="n"/>
      <c r="D12" s="13" t="n"/>
      <c r="E12" s="14" t="inlineStr">
        <is>
          <t>Fecha Muestreo:</t>
        </is>
      </c>
      <c r="F12" s="15" t="n"/>
      <c r="G12" s="16" t="n"/>
    </row>
    <row r="13" ht="20" customHeight="1">
      <c r="A13" s="8" t="inlineStr">
        <is>
          <t>COORDENADAS</t>
        </is>
      </c>
      <c r="B13" s="8" t="inlineStr">
        <is>
          <t>E:</t>
        </is>
      </c>
      <c r="C13" s="10" t="n"/>
      <c r="D13" s="8" t="n"/>
      <c r="E13" s="8" t="inlineStr">
        <is>
          <t>N:</t>
        </is>
      </c>
      <c r="F13" s="10" t="n"/>
      <c r="G13" s="8" t="n"/>
      <c r="H13" s="8" t="inlineStr">
        <is>
          <t>Prof. (m):</t>
        </is>
      </c>
      <c r="I13" s="10" t="n"/>
    </row>
    <row r="14" ht="20" customHeight="1">
      <c r="A14" s="8" t="inlineStr">
        <is>
          <t>DATOS DE MUESTRA</t>
        </is>
      </c>
      <c r="B14" s="8" t="inlineStr">
        <is>
          <t>Explor.:</t>
        </is>
      </c>
      <c r="C14" s="11" t="n"/>
      <c r="D14" s="8" t="inlineStr">
        <is>
          <t>Progresiva:</t>
        </is>
      </c>
      <c r="E14" s="11" t="n"/>
      <c r="F14" s="8" t="inlineStr">
        <is>
          <t>Estrato:</t>
        </is>
      </c>
      <c r="G14" s="11" t="n"/>
      <c r="H14" s="8" t="inlineStr">
        <is>
          <t>Lado:</t>
        </is>
      </c>
      <c r="I14" s="11" t="n"/>
    </row>
    <row r="15" ht="6" customHeight="1"/>
    <row r="16">
      <c r="A16" s="17" t="inlineStr">
        <is>
          <t>DATOS DEL EQUIPO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8" t="inlineStr">
        <is>
          <t>Cte. del anillo (kg/div):</t>
        </is>
      </c>
      <c r="B17" s="11" t="n"/>
      <c r="C17" s="8" t="inlineStr">
        <is>
          <t>Área del pistón (cm²):</t>
        </is>
      </c>
      <c r="D17" s="11" t="n"/>
      <c r="G17" s="8" t="inlineStr">
        <is>
          <t>Altura disco esp. (pulg):</t>
        </is>
      </c>
      <c r="H17" s="11" t="n"/>
    </row>
    <row r="18">
      <c r="A18" s="8" t="inlineStr">
        <is>
          <t>Carga patrón al 0.1" (kg):</t>
        </is>
      </c>
      <c r="B18" s="11" t="n"/>
      <c r="C18" s="8" t="inlineStr">
        <is>
          <t>Carga patrón al 0.2" (kg):</t>
        </is>
      </c>
      <c r="D18" s="11" t="n"/>
    </row>
    <row r="19" ht="6" customHeight="1"/>
    <row r="20">
      <c r="A20" s="17" t="inlineStr">
        <is>
          <t>COMPACTACIÓN DE MOLDES - MTC E 132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 ht="16" customHeight="1">
      <c r="A21" s="19" t="inlineStr">
        <is>
          <t>Parámetro</t>
        </is>
      </c>
      <c r="B21" s="19" t="inlineStr">
        <is>
          <t>M-1 · 56 golpes</t>
        </is>
      </c>
      <c r="C21" s="19" t="inlineStr">
        <is>
          <t>M-2 · 25 golpes</t>
        </is>
      </c>
      <c r="D21" s="19" t="inlineStr">
        <is>
          <t>M-3 · 12 golpes</t>
        </is>
      </c>
    </row>
    <row r="22">
      <c r="A22" s="20" t="inlineStr">
        <is>
          <t>Código de molde</t>
        </is>
      </c>
      <c r="B22" s="20" t="n"/>
      <c r="C22" s="20" t="n"/>
      <c r="D22" s="20" t="n"/>
    </row>
    <row r="23">
      <c r="A23" s="20" t="inlineStr">
        <is>
          <t>Altura del molde (cm)</t>
        </is>
      </c>
      <c r="B23" s="21" t="n"/>
      <c r="C23" s="21" t="n"/>
      <c r="D23" s="21" t="n"/>
    </row>
    <row r="24">
      <c r="A24" s="20" t="inlineStr">
        <is>
          <t>Diámetro del molde (cm)</t>
        </is>
      </c>
      <c r="B24" s="21" t="n"/>
      <c r="C24" s="21" t="n"/>
      <c r="D24" s="21" t="n"/>
    </row>
    <row r="25">
      <c r="A25" s="20" t="inlineStr">
        <is>
          <t>Volumen del molde (cm³)</t>
        </is>
      </c>
      <c r="B25" s="22">
        <f>IF(AND(N(B23)&gt;0,N(B24)&gt;0),ROUND(PI()*POWER(B24,2)*B23/4,1),"")</f>
        <v/>
      </c>
      <c r="C25" s="22">
        <f>IF(AND(N(C23)&gt;0,N(C24)&gt;0),ROUND(PI()*POWER(C24,2)*C23/4,1),"")</f>
        <v/>
      </c>
      <c r="D25" s="22">
        <f>IF(AND(N(D23)&gt;0,N(D24)&gt;0),ROUND(PI()*POWER(D24,2)*D23/4,1),"")</f>
        <v/>
      </c>
    </row>
    <row r="26">
      <c r="A26" s="20" t="inlineStr">
        <is>
          <t>Peso molde + muestra compacta (g)</t>
        </is>
      </c>
      <c r="B26" s="21" t="n"/>
      <c r="C26" s="21" t="n"/>
      <c r="D26" s="21" t="n"/>
    </row>
    <row r="27">
      <c r="A27" s="20" t="inlineStr">
        <is>
          <t>Peso del molde (g)</t>
        </is>
      </c>
      <c r="B27" s="21" t="n"/>
      <c r="C27" s="21" t="n"/>
      <c r="D27" s="21" t="n"/>
    </row>
    <row r="28">
      <c r="A28" s="20" t="inlineStr">
        <is>
          <t>Peso de la muestra compacta (g)</t>
        </is>
      </c>
      <c r="B28" s="23">
        <f>IF(COUNT(B26:B27)=2,B26-B27,"")</f>
        <v/>
      </c>
      <c r="C28" s="23">
        <f>IF(COUNT(C26:C27)=2,C26-C27,"")</f>
        <v/>
      </c>
      <c r="D28" s="23">
        <f>IF(COUNT(D26:D27)=2,D26-D27,"")</f>
        <v/>
      </c>
    </row>
    <row r="29">
      <c r="A29" s="20" t="inlineStr">
        <is>
          <t>Densidad húmeda (g/cm³)</t>
        </is>
      </c>
      <c r="B29" s="24">
        <f>IF(AND(ISNUMBER(B28),N(B25)&gt;0),IFERROR(B28/B25,0),"")</f>
        <v/>
      </c>
      <c r="C29" s="24">
        <f>IF(AND(ISNUMBER(C28),N(C25)&gt;0),IFERROR(C28/C25,0),"")</f>
        <v/>
      </c>
      <c r="D29" s="24">
        <f>IF(AND(ISNUMBER(D28),N(D25)&gt;0),IFERROR(D28/D25,0),"")</f>
        <v/>
      </c>
    </row>
    <row r="30">
      <c r="A30" s="20" t="inlineStr">
        <is>
          <t>Cápsula N°</t>
        </is>
      </c>
      <c r="B30" s="20" t="n"/>
      <c r="C30" s="20" t="n"/>
      <c r="D30" s="20" t="n"/>
    </row>
    <row r="31">
      <c r="A31" s="20" t="inlineStr">
        <is>
          <t>Peso de la cápsula (g)</t>
        </is>
      </c>
      <c r="B31" s="21" t="n"/>
      <c r="C31" s="21" t="n"/>
      <c r="D31" s="21" t="n"/>
    </row>
    <row r="32">
      <c r="A32" s="20" t="inlineStr">
        <is>
          <t>Cápsula + suelo húmedo (g)</t>
        </is>
      </c>
      <c r="B32" s="21" t="n"/>
      <c r="C32" s="21" t="n"/>
      <c r="D32" s="21" t="n"/>
    </row>
    <row r="33">
      <c r="A33" s="20" t="inlineStr">
        <is>
          <t>Cápsula + suelo seco (g)</t>
        </is>
      </c>
      <c r="B33" s="21" t="n"/>
      <c r="C33" s="21" t="n"/>
      <c r="D33" s="21" t="n"/>
    </row>
    <row r="34">
      <c r="A34" s="20" t="inlineStr">
        <is>
          <t>Peso del agua (g)</t>
        </is>
      </c>
      <c r="B34" s="23">
        <f>IF(COUNT(B32:B33)=2,B32-B33,"")</f>
        <v/>
      </c>
      <c r="C34" s="23">
        <f>IF(COUNT(C32:C33)=2,C32-C33,"")</f>
        <v/>
      </c>
      <c r="D34" s="23">
        <f>IF(COUNT(D32:D33)=2,D32-D33,"")</f>
        <v/>
      </c>
    </row>
    <row r="35">
      <c r="A35" s="20" t="inlineStr">
        <is>
          <t>Peso del suelo seco (g)</t>
        </is>
      </c>
      <c r="B35" s="23">
        <f>IF(COUNT(B31,B33)=2,B33-B31,"")</f>
        <v/>
      </c>
      <c r="C35" s="23">
        <f>IF(COUNT(C31,C33)=2,C33-C31,"")</f>
        <v/>
      </c>
      <c r="D35" s="23">
        <f>IF(COUNT(D31,D33)=2,D33-D31,"")</f>
        <v/>
      </c>
    </row>
    <row r="36">
      <c r="A36" s="20" t="inlineStr">
        <is>
          <t>Contenido de humedad (%)</t>
        </is>
      </c>
      <c r="B36" s="23">
        <f>IF(AND(ISNUMBER(B35),N(B35)&gt;0),IFERROR(B34/B35*100,0),"")</f>
        <v/>
      </c>
      <c r="C36" s="23">
        <f>IF(AND(ISNUMBER(C35),N(C35)&gt;0),IFERROR(C34/C35*100,0),"")</f>
        <v/>
      </c>
      <c r="D36" s="23">
        <f>IF(AND(ISNUMBER(D35),N(D35)&gt;0),IFERROR(D34/D35*100,0),"")</f>
        <v/>
      </c>
    </row>
    <row r="37">
      <c r="A37" s="20" t="inlineStr">
        <is>
          <t>Densidad seca (g/cm³)</t>
        </is>
      </c>
      <c r="B37" s="24">
        <f>IF(AND(ISNUMBER(B36),ISNUMBER(B29)),IFERROR(B29/(1+B36/100),0),"")</f>
        <v/>
      </c>
      <c r="C37" s="24">
        <f>IF(AND(ISNUMBER(C36),ISNUMBER(C29)),IFERROR(C29/(1+C36/100),0),"")</f>
        <v/>
      </c>
      <c r="D37" s="24">
        <f>IF(AND(ISNUMBER(D36),ISNUMBER(D29)),IFERROR(D29/(1+D36/100),0),"")</f>
        <v/>
      </c>
    </row>
    <row r="38" ht="6" customHeight="1"/>
    <row r="39">
      <c r="A39" s="17" t="inlineStr">
        <is>
          <t>ABSORCIÓN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9" t="inlineStr">
        <is>
          <t>Parámetro</t>
        </is>
      </c>
      <c r="B40" s="19" t="inlineStr">
        <is>
          <t>M-1 · 56 golpes</t>
        </is>
      </c>
      <c r="C40" s="19" t="inlineStr">
        <is>
          <t>M-2 · 25 golpes</t>
        </is>
      </c>
      <c r="D40" s="19" t="inlineStr">
        <is>
          <t>M-3 · 12 golpes</t>
        </is>
      </c>
    </row>
    <row r="41">
      <c r="A41" s="20" t="inlineStr">
        <is>
          <t>Peso M+MC después de inmersión (g)</t>
        </is>
      </c>
      <c r="B41" s="21" t="n"/>
      <c r="C41" s="21" t="n"/>
      <c r="D41" s="21" t="n"/>
    </row>
    <row r="42">
      <c r="A42" s="20" t="inlineStr">
        <is>
          <t>Peso M+MC antes de inmersión (g)</t>
        </is>
      </c>
      <c r="B42" s="23">
        <f>IF(ISNUMBER(B26),B26,"")</f>
        <v/>
      </c>
      <c r="C42" s="23">
        <f>IF(ISNUMBER(C26),C26,"")</f>
        <v/>
      </c>
      <c r="D42" s="23">
        <f>IF(ISNUMBER(D26),D26,"")</f>
        <v/>
      </c>
    </row>
    <row r="43">
      <c r="A43" s="20" t="inlineStr">
        <is>
          <t>% de Absorción</t>
        </is>
      </c>
      <c r="B43" s="23">
        <f>IF(AND(ISNUMBER(B41),N(B26-B27)&gt;0),IFERROR((B41-B26)/(B26-B27)*100,0),"")</f>
        <v/>
      </c>
      <c r="C43" s="23">
        <f>IF(AND(ISNUMBER(C41),N(C26-C27)&gt;0),IFERROR((C41-C26)/(C26-C27)*100,0),"")</f>
        <v/>
      </c>
      <c r="D43" s="23">
        <f>IF(AND(ISNUMBER(D41),N(D26-D27)&gt;0),IFERROR((D41-D26)/(D26-D27)*100,0),"")</f>
        <v/>
      </c>
    </row>
    <row r="44" ht="6" customHeight="1"/>
    <row r="45">
      <c r="A45" s="17" t="inlineStr">
        <is>
          <t>EXPANSIÓN (inmersión)</t>
        </is>
      </c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 ht="16" customHeight="1">
      <c r="A46" s="19" t="inlineStr">
        <is>
          <t>Lectura</t>
        </is>
      </c>
      <c r="B46" s="19" t="inlineStr">
        <is>
          <t>Dial M1 (mm)</t>
        </is>
      </c>
      <c r="C46" s="19" t="inlineStr">
        <is>
          <t>Dial M2 (mm)</t>
        </is>
      </c>
      <c r="D46" s="19" t="inlineStr">
        <is>
          <t>Dial M3 (mm)</t>
        </is>
      </c>
      <c r="E46" s="19" t="inlineStr">
        <is>
          <t>% Exp. M1</t>
        </is>
      </c>
      <c r="F46" s="19" t="inlineStr">
        <is>
          <t>% Exp. M2</t>
        </is>
      </c>
      <c r="G46" s="19" t="inlineStr">
        <is>
          <t>% Exp. M3</t>
        </is>
      </c>
    </row>
    <row r="47">
      <c r="A47" s="20" t="inlineStr">
        <is>
          <t>Lectura 1 · 0 h</t>
        </is>
      </c>
      <c r="B47" s="21" t="n"/>
      <c r="C47" s="21" t="n"/>
      <c r="D47" s="21" t="n"/>
      <c r="E47" s="23">
        <f>IF(AND(ISNUMBER(B47),N($H$17)&gt;0),IFERROR(B47/25.4/$H$17*100,0),"")</f>
        <v/>
      </c>
      <c r="F47" s="23">
        <f>IF(AND(ISNUMBER(C47),N($H$17)&gt;0),IFERROR(C47/25.4/$H$17*100,0),"")</f>
        <v/>
      </c>
      <c r="G47" s="23">
        <f>IF(AND(ISNUMBER(D47),N($H$17)&gt;0),IFERROR(D47/25.4/$H$17*100,0),"")</f>
        <v/>
      </c>
    </row>
    <row r="48">
      <c r="A48" s="20" t="inlineStr">
        <is>
          <t>Lectura 2 · 24 h</t>
        </is>
      </c>
      <c r="B48" s="21" t="n"/>
      <c r="C48" s="21" t="n"/>
      <c r="D48" s="21" t="n"/>
      <c r="E48" s="23">
        <f>IF(AND(ISNUMBER(B48),N($H$17)&gt;0),IFERROR(B48/25.4/$H$17*100,0),"")</f>
        <v/>
      </c>
      <c r="F48" s="23">
        <f>IF(AND(ISNUMBER(C48),N($H$17)&gt;0),IFERROR(C48/25.4/$H$17*100,0),"")</f>
        <v/>
      </c>
      <c r="G48" s="23">
        <f>IF(AND(ISNUMBER(D48),N($H$17)&gt;0),IFERROR(D48/25.4/$H$17*100,0),"")</f>
        <v/>
      </c>
    </row>
    <row r="49">
      <c r="A49" s="20" t="inlineStr">
        <is>
          <t>Lectura 3 · 48 h</t>
        </is>
      </c>
      <c r="B49" s="21" t="n"/>
      <c r="C49" s="21" t="n"/>
      <c r="D49" s="21" t="n"/>
      <c r="E49" s="23">
        <f>IF(AND(ISNUMBER(B49),N($H$17)&gt;0),IFERROR(B49/25.4/$H$17*100,0),"")</f>
        <v/>
      </c>
      <c r="F49" s="23">
        <f>IF(AND(ISNUMBER(C49),N($H$17)&gt;0),IFERROR(C49/25.4/$H$17*100,0),"")</f>
        <v/>
      </c>
      <c r="G49" s="23">
        <f>IF(AND(ISNUMBER(D49),N($H$17)&gt;0),IFERROR(D49/25.4/$H$17*100,0),"")</f>
        <v/>
      </c>
    </row>
    <row r="50">
      <c r="A50" s="20" t="inlineStr">
        <is>
          <t>Lectura 4 · 72 h</t>
        </is>
      </c>
      <c r="B50" s="21" t="n"/>
      <c r="C50" s="21" t="n"/>
      <c r="D50" s="21" t="n"/>
      <c r="E50" s="23">
        <f>IF(AND(ISNUMBER(B50),N($H$17)&gt;0),IFERROR(B50/25.4/$H$17*100,0),"")</f>
        <v/>
      </c>
      <c r="F50" s="23">
        <f>IF(AND(ISNUMBER(C50),N($H$17)&gt;0),IFERROR(C50/25.4/$H$17*100,0),"")</f>
        <v/>
      </c>
      <c r="G50" s="23">
        <f>IF(AND(ISNUMBER(D50),N($H$17)&gt;0),IFERROR(D50/25.4/$H$17*100,0),"")</f>
        <v/>
      </c>
    </row>
    <row r="51">
      <c r="A51" s="20" t="inlineStr">
        <is>
          <t>Lectura 5 · 96 h</t>
        </is>
      </c>
      <c r="B51" s="21" t="n"/>
      <c r="C51" s="21" t="n"/>
      <c r="D51" s="21" t="n"/>
      <c r="E51" s="23">
        <f>IF(AND(ISNUMBER(B51),N($H$17)&gt;0),IFERROR(B51/25.4/$H$17*100,0),"")</f>
        <v/>
      </c>
      <c r="F51" s="23">
        <f>IF(AND(ISNUMBER(C51),N($H$17)&gt;0),IFERROR(C51/25.4/$H$17*100,0),"")</f>
        <v/>
      </c>
      <c r="G51" s="23">
        <f>IF(AND(ISNUMBER(D51),N($H$17)&gt;0),IFERROR(D51/25.4/$H$17*100,0),"")</f>
        <v/>
      </c>
    </row>
    <row r="52" ht="6" customHeight="1"/>
    <row r="53">
      <c r="A53" s="17" t="inlineStr">
        <is>
          <t>PENETRACIÓN</t>
        </is>
      </c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 ht="16" customHeight="1">
      <c r="A54" s="19" t="inlineStr">
        <is>
          <t>Lectura</t>
        </is>
      </c>
      <c r="B54" s="19" t="inlineStr">
        <is>
          <t>Pen. (mm)</t>
        </is>
      </c>
      <c r="C54" s="19" t="inlineStr">
        <is>
          <t>Pen. (pulg)</t>
        </is>
      </c>
      <c r="D54" s="19" t="inlineStr">
        <is>
          <t>Dial M1</t>
        </is>
      </c>
      <c r="E54" s="19" t="inlineStr">
        <is>
          <t>Carga M1 (kg)</t>
        </is>
      </c>
      <c r="F54" s="19" t="inlineStr">
        <is>
          <t>Dial M2</t>
        </is>
      </c>
      <c r="G54" s="19" t="inlineStr">
        <is>
          <t>Carga M2 (kg)</t>
        </is>
      </c>
      <c r="H54" s="19" t="inlineStr">
        <is>
          <t>Dial M3</t>
        </is>
      </c>
      <c r="I54" s="19" t="inlineStr">
        <is>
          <t>Carga M3 (kg)</t>
        </is>
      </c>
    </row>
    <row r="55">
      <c r="A55" s="20" t="inlineStr">
        <is>
          <t>1 · P1</t>
        </is>
      </c>
      <c r="B55" s="21" t="n">
        <v>0.64</v>
      </c>
      <c r="C55" s="25" t="n">
        <v>0.025</v>
      </c>
      <c r="D55" s="21" t="n"/>
      <c r="E55" s="23">
        <f>IF(AND(ISNUMBER(D55),N($D$17)&gt;0),IFERROR(D55*$B$17*0.453592,0),"")</f>
        <v/>
      </c>
      <c r="F55" s="21" t="n"/>
      <c r="G55" s="23">
        <f>IF(AND(ISNUMBER(F55),N($D$17)&gt;0),IFERROR(F55*$B$17*0.453592,0),"")</f>
        <v/>
      </c>
      <c r="H55" s="21" t="n"/>
      <c r="I55" s="23">
        <f>IF(AND(ISNUMBER(H55),N($D$17)&gt;0),IFERROR(H55*$B$17*0.453592,0),"")</f>
        <v/>
      </c>
    </row>
    <row r="56">
      <c r="A56" s="20" t="inlineStr">
        <is>
          <t>2 · P2</t>
        </is>
      </c>
      <c r="B56" s="21" t="n">
        <v>1.27</v>
      </c>
      <c r="C56" s="25" t="n">
        <v>0.05</v>
      </c>
      <c r="D56" s="21" t="n"/>
      <c r="E56" s="23">
        <f>IF(AND(ISNUMBER(D56),N($D$17)&gt;0),IFERROR(D56*$B$17*0.453592,0),"")</f>
        <v/>
      </c>
      <c r="F56" s="21" t="n"/>
      <c r="G56" s="23">
        <f>IF(AND(ISNUMBER(F56),N($D$17)&gt;0),IFERROR(F56*$B$17*0.453592,0),"")</f>
        <v/>
      </c>
      <c r="H56" s="21" t="n"/>
      <c r="I56" s="23">
        <f>IF(AND(ISNUMBER(H56),N($D$17)&gt;0),IFERROR(H56*$B$17*0.453592,0),"")</f>
        <v/>
      </c>
    </row>
    <row r="57">
      <c r="A57" s="20" t="inlineStr">
        <is>
          <t>3 · P3</t>
        </is>
      </c>
      <c r="B57" s="21" t="n">
        <v>1.91</v>
      </c>
      <c r="C57" s="25" t="n">
        <v>0.075</v>
      </c>
      <c r="D57" s="21" t="n"/>
      <c r="E57" s="23">
        <f>IF(AND(ISNUMBER(D57),N($D$17)&gt;0),IFERROR(D57*$B$17*0.453592,0),"")</f>
        <v/>
      </c>
      <c r="F57" s="21" t="n"/>
      <c r="G57" s="23">
        <f>IF(AND(ISNUMBER(F57),N($D$17)&gt;0),IFERROR(F57*$B$17*0.453592,0),"")</f>
        <v/>
      </c>
      <c r="H57" s="21" t="n"/>
      <c r="I57" s="23">
        <f>IF(AND(ISNUMBER(H57),N($D$17)&gt;0),IFERROR(H57*$B$17*0.453592,0),"")</f>
        <v/>
      </c>
    </row>
    <row r="58">
      <c r="A58" s="20" t="inlineStr">
        <is>
          <t>4 · P4</t>
        </is>
      </c>
      <c r="B58" s="21" t="n">
        <v>2.54</v>
      </c>
      <c r="C58" s="25" t="n">
        <v>0.1</v>
      </c>
      <c r="D58" s="21" t="n"/>
      <c r="E58" s="23">
        <f>IF(AND(ISNUMBER(D58),N($D$17)&gt;0),IFERROR(D58*$B$17*0.453592,0),"")</f>
        <v/>
      </c>
      <c r="F58" s="21" t="n"/>
      <c r="G58" s="23">
        <f>IF(AND(ISNUMBER(F58),N($D$17)&gt;0),IFERROR(F58*$B$17*0.453592,0),"")</f>
        <v/>
      </c>
      <c r="H58" s="21" t="n"/>
      <c r="I58" s="23">
        <f>IF(AND(ISNUMBER(H58),N($D$17)&gt;0),IFERROR(H58*$B$17*0.453592,0),"")</f>
        <v/>
      </c>
    </row>
    <row r="59">
      <c r="A59" s="20" t="inlineStr">
        <is>
          <t>5 · P5</t>
        </is>
      </c>
      <c r="B59" s="21" t="n">
        <v>3.18</v>
      </c>
      <c r="C59" s="25" t="n">
        <v>0.125</v>
      </c>
      <c r="D59" s="21" t="n"/>
      <c r="E59" s="23">
        <f>IF(AND(ISNUMBER(D59),N($D$17)&gt;0),IFERROR(D59*$B$17*0.453592,0),"")</f>
        <v/>
      </c>
      <c r="F59" s="21" t="n"/>
      <c r="G59" s="23">
        <f>IF(AND(ISNUMBER(F59),N($D$17)&gt;0),IFERROR(F59*$B$17*0.453592,0),"")</f>
        <v/>
      </c>
      <c r="H59" s="21" t="n"/>
      <c r="I59" s="23">
        <f>IF(AND(ISNUMBER(H59),N($D$17)&gt;0),IFERROR(H59*$B$17*0.453592,0),"")</f>
        <v/>
      </c>
    </row>
    <row r="60">
      <c r="A60" s="20" t="inlineStr">
        <is>
          <t>6 · P6</t>
        </is>
      </c>
      <c r="B60" s="21" t="n">
        <v>3.81</v>
      </c>
      <c r="C60" s="25" t="n">
        <v>0.15</v>
      </c>
      <c r="D60" s="21" t="n"/>
      <c r="E60" s="23">
        <f>IF(AND(ISNUMBER(D60),N($D$17)&gt;0),IFERROR(D60*$B$17*0.453592,0),"")</f>
        <v/>
      </c>
      <c r="F60" s="21" t="n"/>
      <c r="G60" s="23">
        <f>IF(AND(ISNUMBER(F60),N($D$17)&gt;0),IFERROR(F60*$B$17*0.453592,0),"")</f>
        <v/>
      </c>
      <c r="H60" s="21" t="n"/>
      <c r="I60" s="23">
        <f>IF(AND(ISNUMBER(H60),N($D$17)&gt;0),IFERROR(H60*$B$17*0.453592,0),"")</f>
        <v/>
      </c>
    </row>
    <row r="61">
      <c r="A61" s="20" t="inlineStr">
        <is>
          <t>7 · P7</t>
        </is>
      </c>
      <c r="B61" s="21" t="n">
        <v>5.08</v>
      </c>
      <c r="C61" s="25" t="n">
        <v>0.2</v>
      </c>
      <c r="D61" s="21" t="n"/>
      <c r="E61" s="23">
        <f>IF(AND(ISNUMBER(D61),N($D$17)&gt;0),IFERROR(D61*$B$17*0.453592,0),"")</f>
        <v/>
      </c>
      <c r="F61" s="21" t="n"/>
      <c r="G61" s="23">
        <f>IF(AND(ISNUMBER(F61),N($D$17)&gt;0),IFERROR(F61*$B$17*0.453592,0),"")</f>
        <v/>
      </c>
      <c r="H61" s="21" t="n"/>
      <c r="I61" s="23">
        <f>IF(AND(ISNUMBER(H61),N($D$17)&gt;0),IFERROR(H61*$B$17*0.453592,0),"")</f>
        <v/>
      </c>
    </row>
    <row r="62">
      <c r="A62" s="20" t="inlineStr">
        <is>
          <t>8 · P8</t>
        </is>
      </c>
      <c r="B62" s="21" t="n">
        <v>7.62</v>
      </c>
      <c r="C62" s="25" t="n">
        <v>0.3</v>
      </c>
      <c r="D62" s="21" t="n"/>
      <c r="E62" s="23">
        <f>IF(AND(ISNUMBER(D62),N($D$17)&gt;0),IFERROR(D62*$B$17*0.453592,0),"")</f>
        <v/>
      </c>
      <c r="F62" s="21" t="n"/>
      <c r="G62" s="23">
        <f>IF(AND(ISNUMBER(F62),N($D$17)&gt;0),IFERROR(F62*$B$17*0.453592,0),"")</f>
        <v/>
      </c>
      <c r="H62" s="21" t="n"/>
      <c r="I62" s="23">
        <f>IF(AND(ISNUMBER(H62),N($D$17)&gt;0),IFERROR(H62*$B$17*0.453592,0),"")</f>
        <v/>
      </c>
    </row>
    <row r="63">
      <c r="A63" s="20" t="inlineStr">
        <is>
          <t>9 · P9</t>
        </is>
      </c>
      <c r="B63" s="21" t="n">
        <v>10.16</v>
      </c>
      <c r="C63" s="25" t="n">
        <v>0.4</v>
      </c>
      <c r="D63" s="21" t="n"/>
      <c r="E63" s="23">
        <f>IF(AND(ISNUMBER(D63),N($D$17)&gt;0),IFERROR(D63*$B$17*0.453592,0),"")</f>
        <v/>
      </c>
      <c r="F63" s="21" t="n"/>
      <c r="G63" s="23">
        <f>IF(AND(ISNUMBER(F63),N($D$17)&gt;0),IFERROR(F63*$B$17*0.453592,0),"")</f>
        <v/>
      </c>
      <c r="H63" s="21" t="n"/>
      <c r="I63" s="23">
        <f>IF(AND(ISNUMBER(H63),N($D$17)&gt;0),IFERROR(H63*$B$17*0.453592,0),"")</f>
        <v/>
      </c>
    </row>
    <row r="64" ht="6" customHeight="1"/>
    <row r="65">
      <c r="A65" s="17" t="inlineStr">
        <is>
          <t>RESULTADOS CBR</t>
        </is>
      </c>
      <c r="B65" s="18" t="n"/>
      <c r="C65" s="18" t="n"/>
      <c r="D65" s="18" t="n"/>
      <c r="E65" s="18" t="n"/>
      <c r="F65" s="18" t="n"/>
      <c r="G65" s="18" t="n"/>
      <c r="H65" s="18" t="n"/>
      <c r="I65" s="18" t="n"/>
    </row>
    <row r="66" ht="16" customHeight="1">
      <c r="A66" s="19" t="inlineStr">
        <is>
          <t>Parámetro</t>
        </is>
      </c>
      <c r="B66" s="19" t="inlineStr">
        <is>
          <t>M-1 · 56 golpes</t>
        </is>
      </c>
      <c r="C66" s="19" t="inlineStr">
        <is>
          <t>M-2 · 25 golpes</t>
        </is>
      </c>
      <c r="D66" s="19" t="inlineStr">
        <is>
          <t>M-3 · 12 golpes</t>
        </is>
      </c>
    </row>
    <row r="67">
      <c r="A67" s="20" t="inlineStr">
        <is>
          <t>Densidad seca (g/cm³)</t>
        </is>
      </c>
      <c r="B67" s="24">
        <f>IF(ISNUMBER(B37),B37,"")</f>
        <v/>
      </c>
      <c r="C67" s="24">
        <f>IF(ISNUMBER(C37),C37,"")</f>
        <v/>
      </c>
      <c r="D67" s="24">
        <f>IF(ISNUMBER(D37),D37,"")</f>
        <v/>
      </c>
    </row>
    <row r="68">
      <c r="A68" s="20" t="inlineStr">
        <is>
          <t>Humedad de compactación (%)</t>
        </is>
      </c>
      <c r="B68" s="23">
        <f>IF(ISNUMBER(B36),B36,"")</f>
        <v/>
      </c>
      <c r="C68" s="23">
        <f>IF(ISNUMBER(C36),C36,"")</f>
        <v/>
      </c>
      <c r="D68" s="23">
        <f>IF(ISNUMBER(D36),D36,"")</f>
        <v/>
      </c>
    </row>
    <row r="69">
      <c r="A69" s="20" t="inlineStr">
        <is>
          <t>% de Expansión (96 h)</t>
        </is>
      </c>
      <c r="B69" s="23">
        <f>IF(ISNUMBER(E51),E51,"")</f>
        <v/>
      </c>
      <c r="C69" s="23">
        <f>IF(ISNUMBER(F51),F51,"")</f>
        <v/>
      </c>
      <c r="D69" s="23">
        <f>IF(ISNUMBER(G51),G51,"")</f>
        <v/>
      </c>
    </row>
    <row r="70">
      <c r="A70" s="20" t="inlineStr">
        <is>
          <t>% de Absorción</t>
        </is>
      </c>
      <c r="B70" s="23">
        <f>IF(ISNUMBER(B43),B43,"")</f>
        <v/>
      </c>
      <c r="C70" s="23">
        <f>IF(ISNUMBER(C43),C43,"")</f>
        <v/>
      </c>
      <c r="D70" s="23">
        <f>IF(ISNUMBER(D43),D43,"")</f>
        <v/>
      </c>
    </row>
    <row r="71">
      <c r="A71" s="20" t="inlineStr">
        <is>
          <t>CBR al 0.1" (%)</t>
        </is>
      </c>
      <c r="B71" s="23">
        <f>IF(AND(ISNUMBER(E58),N($D$18)&gt;0),IFERROR(E58/$B$18*100,0),"")</f>
        <v/>
      </c>
      <c r="C71" s="23">
        <f>IF(AND(ISNUMBER(G58),N($D$18)&gt;0),IFERROR(G58/$B$18*100,0),"")</f>
        <v/>
      </c>
      <c r="D71" s="23">
        <f>IF(AND(ISNUMBER(I58),N($D$18)&gt;0),IFERROR(I58/$B$18*100,0),"")</f>
        <v/>
      </c>
    </row>
    <row r="72">
      <c r="A72" s="20" t="inlineStr">
        <is>
          <t>CBR al 0.2" (%)</t>
        </is>
      </c>
      <c r="B72" s="23">
        <f>IF(AND(ISNUMBER(E61),N($D$18)&gt;0),IFERROR(E61/$D$18*100,0),"")</f>
        <v/>
      </c>
      <c r="C72" s="23">
        <f>IF(AND(ISNUMBER(G61),N($D$18)&gt;0),IFERROR(G61/$D$18*100,0),"")</f>
        <v/>
      </c>
      <c r="D72" s="23">
        <f>IF(AND(ISNUMBER(I61),N($D$18)&gt;0),IFERROR(I61/$D$18*100,0),"")</f>
        <v/>
      </c>
    </row>
    <row r="73">
      <c r="A73" s="20" t="inlineStr">
        <is>
          <t>CBR FINAL (%)</t>
        </is>
      </c>
      <c r="B73" s="23">
        <f>IF(COUNT(B71,B72)=2,MAX(B71,B72),"")</f>
        <v/>
      </c>
      <c r="C73" s="23">
        <f>IF(COUNT(C71,C72)=2,MAX(C71,C72),"")</f>
        <v/>
      </c>
      <c r="D73" s="23">
        <f>IF(COUNT(D71,D72)=2,MAX(D71,D72),"")</f>
        <v/>
      </c>
    </row>
    <row r="74" ht="6" customHeight="1"/>
    <row r="75">
      <c r="A75" s="8" t="inlineStr">
        <is>
          <t>CBR DE DISEÑO (máx. de los moldes)</t>
        </is>
      </c>
      <c r="B75" s="26">
        <f>IF(COUNT(B73:D73)=0,"",MAX(B73:D73))</f>
        <v/>
      </c>
      <c r="C75" s="9" t="n"/>
      <c r="D75" s="9" t="n"/>
      <c r="E75" s="9" t="n"/>
      <c r="F75" s="9" t="n"/>
      <c r="G75" s="9" t="n"/>
      <c r="H75" s="9" t="n"/>
      <c r="I75" s="9" t="n"/>
    </row>
    <row r="76" ht="6" customHeight="1"/>
    <row r="77">
      <c r="A77" s="17" t="inlineStr">
        <is>
          <t>CURVA DE PENETRACIÓN - CARGA</t>
        </is>
      </c>
      <c r="B77" s="18" t="n"/>
      <c r="C77" s="18" t="n"/>
      <c r="D77" s="18" t="n"/>
      <c r="E77" s="18" t="n"/>
      <c r="F77" s="18" t="n"/>
      <c r="G77" s="18" t="n"/>
      <c r="H77" s="18" t="n"/>
      <c r="I77" s="18" t="n"/>
    </row>
    <row r="107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</row>
    <row r="108">
      <c r="A108" s="28" t="inlineStr">
        <is>
          <t>ESP. ENSAYOS GEOTECNICOS</t>
        </is>
      </c>
      <c r="D108" s="28" t="inlineStr">
        <is>
          <t>ESP. SUELOS Y PAVIMENTOS</t>
        </is>
      </c>
      <c r="G108" s="28" t="inlineStr">
        <is>
          <t>SUPERVISOR</t>
        </is>
      </c>
    </row>
  </sheetData>
  <mergeCells count="25">
    <mergeCell ref="A8"/>
    <mergeCell ref="E12:F12"/>
    <mergeCell ref="A65:I65"/>
    <mergeCell ref="A108:C108"/>
    <mergeCell ref="B75:I75"/>
    <mergeCell ref="C6:G6"/>
    <mergeCell ref="C5:G5"/>
    <mergeCell ref="C3:G3"/>
    <mergeCell ref="G108:I108"/>
    <mergeCell ref="C4:G4"/>
    <mergeCell ref="C1:G1"/>
    <mergeCell ref="A53:I53"/>
    <mergeCell ref="B8:I8"/>
    <mergeCell ref="A20:I20"/>
    <mergeCell ref="C2:G2"/>
    <mergeCell ref="B10:I10"/>
    <mergeCell ref="G12:I12"/>
    <mergeCell ref="F13:G13"/>
    <mergeCell ref="A39:I39"/>
    <mergeCell ref="A77:I77"/>
    <mergeCell ref="A45:I45"/>
    <mergeCell ref="C13:D13"/>
    <mergeCell ref="D108:F108"/>
    <mergeCell ref="B12:D12"/>
    <mergeCell ref="A16:I16"/>
  </mergeCells>
  <pageMargins left="0.35" right="0.35" top="0.45" bottom="0.45" header="0.5" footer="0.5"/>
  <pageSetup orientation="portrait" paperSize="9" fitToHeight="0" fitToWidth="1"/>
  <rowBreaks count="1" manualBreakCount="1">
    <brk id="7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94A3B8"/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titulo</t>
        </is>
      </c>
      <c r="C1" t="inlineStr">
        <is>
          <t>tipo</t>
        </is>
      </c>
      <c r="D1" t="inlineStr">
        <is>
          <t>ancla</t>
        </is>
      </c>
      <c r="E1" t="inlineStr">
        <is>
          <t>ancho_px</t>
        </is>
      </c>
      <c r="F1" t="inlineStr">
        <is>
          <t>alto_px</t>
        </is>
      </c>
      <c r="G1" t="inlineStr">
        <is>
          <t>x_log</t>
        </is>
      </c>
      <c r="H1" t="inlineStr">
        <is>
          <t>x_min</t>
        </is>
      </c>
      <c r="I1" t="inlineStr">
        <is>
          <t>x_max</t>
        </is>
      </c>
      <c r="J1" t="inlineStr">
        <is>
          <t>y_min</t>
        </is>
      </c>
      <c r="K1" t="inlineStr">
        <is>
          <t>y_max</t>
        </is>
      </c>
      <c r="L1" t="inlineStr">
        <is>
          <t>titulo_x</t>
        </is>
      </c>
      <c r="M1" t="inlineStr">
        <is>
          <t>titulo_y</t>
        </is>
      </c>
      <c r="N1" t="inlineStr">
        <is>
          <t>serie</t>
        </is>
      </c>
      <c r="O1" t="inlineStr">
        <is>
          <t>estilo</t>
        </is>
      </c>
      <c r="P1" t="inlineStr">
        <is>
          <t>rango_x</t>
        </is>
      </c>
      <c r="Q1" t="inlineStr">
        <is>
          <t>rango_y</t>
        </is>
      </c>
      <c r="R1" t="inlineStr">
        <is>
          <t>color</t>
        </is>
      </c>
      <c r="S1" t="inlineStr">
        <is>
          <t>orden</t>
        </is>
      </c>
    </row>
    <row r="2">
      <c r="A2" t="inlineStr">
        <is>
          <t>curva_penetracion</t>
        </is>
      </c>
      <c r="B2" t="inlineStr">
        <is>
          <t>Curva Carga - Penetración CBR</t>
        </is>
      </c>
      <c r="C2" t="inlineStr">
        <is>
          <t>xy</t>
        </is>
      </c>
      <c r="D2" t="inlineStr">
        <is>
          <t>A78</t>
        </is>
      </c>
      <c r="E2" t="n">
        <v>620</v>
      </c>
      <c r="F2" t="n">
        <v>460</v>
      </c>
      <c r="G2" t="inlineStr">
        <is>
          <t>NO</t>
        </is>
      </c>
      <c r="H2" t="inlineStr"/>
      <c r="I2" t="inlineStr"/>
      <c r="J2" t="inlineStr"/>
      <c r="K2" t="inlineStr"/>
      <c r="L2" t="inlineStr">
        <is>
          <t>Penetración (pulg)</t>
        </is>
      </c>
      <c r="M2" t="inlineStr">
        <is>
          <t>Carga (kg)</t>
        </is>
      </c>
      <c r="N2" t="inlineStr">
        <is>
          <t>M-1</t>
        </is>
      </c>
      <c r="O2" t="inlineStr">
        <is>
          <t>linea</t>
        </is>
      </c>
      <c r="P2" t="inlineStr">
        <is>
          <t>'Reporte'!$C$67:$C$64</t>
        </is>
      </c>
      <c r="Q2" t="inlineStr">
        <is>
          <t>'Reporte'!$E$67:$E$64</t>
        </is>
      </c>
      <c r="R2" t="inlineStr">
        <is>
          <t>1E40AF</t>
        </is>
      </c>
      <c r="S2" t="n">
        <v>1</v>
      </c>
    </row>
    <row r="3">
      <c r="A3" t="inlineStr">
        <is>
          <t>curva_penetracion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M-2</t>
        </is>
      </c>
      <c r="O3" t="inlineStr">
        <is>
          <t>linea</t>
        </is>
      </c>
      <c r="P3" t="inlineStr">
        <is>
          <t>'Reporte'!$C$67:$C$64</t>
        </is>
      </c>
      <c r="Q3" t="inlineStr">
        <is>
          <t>'Reporte'!$G$67:$G$64</t>
        </is>
      </c>
      <c r="R3" t="inlineStr">
        <is>
          <t>DC2626</t>
        </is>
      </c>
      <c r="S3" t="n">
        <v>2</v>
      </c>
    </row>
    <row r="4">
      <c r="A4" t="inlineStr">
        <is>
          <t>curva_penetracion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M-3</t>
        </is>
      </c>
      <c r="O4" t="inlineStr">
        <is>
          <t>linea</t>
        </is>
      </c>
      <c r="P4" t="inlineStr">
        <is>
          <t>'Reporte'!$C$67:$C$64</t>
        </is>
      </c>
      <c r="Q4" t="inlineStr">
        <is>
          <t>'Reporte'!$I$67:$I$64</t>
        </is>
      </c>
      <c r="R4" t="inlineStr">
        <is>
          <t>059669</t>
        </is>
      </c>
      <c r="S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4A3B8"/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</t>
        </is>
      </c>
      <c r="B1" t="inlineStr">
        <is>
          <t>celda</t>
        </is>
      </c>
      <c r="C1" t="inlineStr">
        <is>
          <t>tipo</t>
        </is>
      </c>
      <c r="D1" t="inlineStr">
        <is>
          <t>formato</t>
        </is>
      </c>
    </row>
    <row r="2">
      <c r="A2" t="inlineStr">
        <is>
          <t>meta.codigo_ensayo</t>
        </is>
      </c>
      <c r="B2" t="inlineStr">
        <is>
          <t>B8</t>
        </is>
      </c>
      <c r="C2" t="inlineStr">
        <is>
          <t>texto</t>
        </is>
      </c>
    </row>
    <row r="3">
      <c r="A3" t="inlineStr">
        <is>
          <t>meta.proyecto_nombre</t>
        </is>
      </c>
      <c r="B3" t="inlineStr">
        <is>
          <t>B10</t>
        </is>
      </c>
      <c r="C3" t="inlineStr">
        <is>
          <t>texto</t>
        </is>
      </c>
    </row>
    <row r="4">
      <c r="A4" t="inlineStr">
        <is>
          <t>meta.tramo_nombre</t>
        </is>
      </c>
      <c r="B4" t="inlineStr">
        <is>
          <t>C11</t>
        </is>
      </c>
      <c r="C4" t="inlineStr">
        <is>
          <t>texto</t>
        </is>
      </c>
    </row>
    <row r="5">
      <c r="A5" t="inlineStr">
        <is>
          <t>meta.distrito</t>
        </is>
      </c>
      <c r="B5" t="inlineStr">
        <is>
          <t>E11</t>
        </is>
      </c>
      <c r="C5" t="inlineStr">
        <is>
          <t>texto</t>
        </is>
      </c>
    </row>
    <row r="6">
      <c r="A6" t="inlineStr">
        <is>
          <t>meta.provincia</t>
        </is>
      </c>
      <c r="B6" t="inlineStr">
        <is>
          <t>G11</t>
        </is>
      </c>
      <c r="C6" t="inlineStr">
        <is>
          <t>texto</t>
        </is>
      </c>
    </row>
    <row r="7">
      <c r="A7" t="inlineStr">
        <is>
          <t>meta.departamento</t>
        </is>
      </c>
      <c r="B7" t="inlineStr">
        <is>
          <t>I11</t>
        </is>
      </c>
      <c r="C7" t="inlineStr">
        <is>
          <t>texto</t>
        </is>
      </c>
    </row>
    <row r="8">
      <c r="A8" t="inlineStr">
        <is>
          <t>meta.solicitante</t>
        </is>
      </c>
      <c r="B8" t="inlineStr">
        <is>
          <t>B12</t>
        </is>
      </c>
      <c r="C8" t="inlineStr">
        <is>
          <t>texto</t>
        </is>
      </c>
    </row>
    <row r="9">
      <c r="A9" t="inlineStr">
        <is>
          <t>meta.fecha_muestreo</t>
        </is>
      </c>
      <c r="B9" t="inlineStr">
        <is>
          <t>G12</t>
        </is>
      </c>
      <c r="C9" t="inlineStr">
        <is>
          <t>fecha</t>
        </is>
      </c>
      <c r="D9" t="inlineStr">
        <is>
          <t>dddd d" de "mmmm" de "yyyy</t>
        </is>
      </c>
    </row>
    <row r="10">
      <c r="A10" t="inlineStr">
        <is>
          <t>meta.coordenada_este</t>
        </is>
      </c>
      <c r="B10" t="inlineStr">
        <is>
          <t>C13</t>
        </is>
      </c>
      <c r="C10" t="inlineStr">
        <is>
          <t>numero</t>
        </is>
      </c>
      <c r="D10" t="inlineStr">
        <is>
          <t>0.00</t>
        </is>
      </c>
    </row>
    <row r="11">
      <c r="A11" t="inlineStr">
        <is>
          <t>meta.coordenada_norte</t>
        </is>
      </c>
      <c r="B11" t="inlineStr">
        <is>
          <t>F13</t>
        </is>
      </c>
      <c r="C11" t="inlineStr">
        <is>
          <t>numero</t>
        </is>
      </c>
      <c r="D11" t="inlineStr">
        <is>
          <t>0.00</t>
        </is>
      </c>
    </row>
    <row r="12">
      <c r="A12" t="inlineStr">
        <is>
          <t>meta.profundidad</t>
        </is>
      </c>
      <c r="B12" t="inlineStr">
        <is>
          <t>I13</t>
        </is>
      </c>
      <c r="C12" t="inlineStr">
        <is>
          <t>texto</t>
        </is>
      </c>
    </row>
    <row r="13">
      <c r="A13" t="inlineStr">
        <is>
          <t>meta.calicata</t>
        </is>
      </c>
      <c r="B13" t="inlineStr">
        <is>
          <t>C14</t>
        </is>
      </c>
      <c r="C13" t="inlineStr">
        <is>
          <t>texto</t>
        </is>
      </c>
    </row>
    <row r="14">
      <c r="A14" t="inlineStr">
        <is>
          <t>meta.progresiva</t>
        </is>
      </c>
      <c r="B14" t="inlineStr">
        <is>
          <t>E14</t>
        </is>
      </c>
      <c r="C14" t="inlineStr">
        <is>
          <t>texto</t>
        </is>
      </c>
    </row>
    <row r="15">
      <c r="A15" t="inlineStr">
        <is>
          <t>meta.estrato</t>
        </is>
      </c>
      <c r="B15" t="inlineStr">
        <is>
          <t>G14</t>
        </is>
      </c>
      <c r="C15" t="inlineStr">
        <is>
          <t>texto</t>
        </is>
      </c>
    </row>
    <row r="16">
      <c r="A16" t="inlineStr">
        <is>
          <t>meta.lado</t>
        </is>
      </c>
      <c r="B16" t="inlineStr">
        <is>
          <t>I14</t>
        </is>
      </c>
      <c r="C16" t="inlineStr">
        <is>
          <t>texto</t>
        </is>
      </c>
    </row>
    <row r="17">
      <c r="A17" t="inlineStr">
        <is>
          <t>datos.general_fields.constante_anillo</t>
        </is>
      </c>
      <c r="B17" t="inlineStr">
        <is>
          <t>B17</t>
        </is>
      </c>
      <c r="C17" t="inlineStr">
        <is>
          <t>numero</t>
        </is>
      </c>
      <c r="D17" t="inlineStr">
        <is>
          <t>0.0000</t>
        </is>
      </c>
    </row>
    <row r="18">
      <c r="A18" t="inlineStr">
        <is>
          <t>datos.general_fields.area_piston_cm2</t>
        </is>
      </c>
      <c r="B18" t="inlineStr">
        <is>
          <t>D17</t>
        </is>
      </c>
      <c r="C18" t="inlineStr">
        <is>
          <t>numero</t>
        </is>
      </c>
      <c r="D18" t="inlineStr">
        <is>
          <t>0.00</t>
        </is>
      </c>
    </row>
    <row r="19">
      <c r="A19" t="inlineStr">
        <is>
          <t>datos.general_fields.altura_disco_esp_pulg</t>
        </is>
      </c>
      <c r="B19" t="inlineStr">
        <is>
          <t>H17</t>
        </is>
      </c>
      <c r="C19" t="inlineStr">
        <is>
          <t>numero</t>
        </is>
      </c>
      <c r="D19" t="inlineStr">
        <is>
          <t>0.000</t>
        </is>
      </c>
    </row>
    <row r="20">
      <c r="A20" t="inlineStr">
        <is>
          <t>datos.general_fields.carga_patron_01</t>
        </is>
      </c>
      <c r="B20" t="inlineStr">
        <is>
          <t>B18</t>
        </is>
      </c>
      <c r="C20" t="inlineStr">
        <is>
          <t>numero</t>
        </is>
      </c>
      <c r="D20" t="inlineStr">
        <is>
          <t>0.00</t>
        </is>
      </c>
    </row>
    <row r="21">
      <c r="A21" t="inlineStr">
        <is>
          <t>datos.general_fields.carga_patron_02</t>
        </is>
      </c>
      <c r="B21" t="inlineStr">
        <is>
          <t>D18</t>
        </is>
      </c>
      <c r="C21" t="inlineStr">
        <is>
          <t>numero</t>
        </is>
      </c>
      <c r="D21" t="inlineStr">
        <is>
          <t>0.00</t>
        </is>
      </c>
    </row>
    <row r="22">
      <c r="A22" t="inlineStr">
        <is>
          <t>datos.tables.datos_molde.m1.codigo_molde</t>
        </is>
      </c>
      <c r="B22" t="inlineStr">
        <is>
          <t>B22</t>
        </is>
      </c>
      <c r="C22" t="inlineStr">
        <is>
          <t>texto</t>
        </is>
      </c>
    </row>
    <row r="23">
      <c r="A23" t="inlineStr">
        <is>
          <t>datos.tables.datos_molde.m2.codigo_molde</t>
        </is>
      </c>
      <c r="B23" t="inlineStr">
        <is>
          <t>C22</t>
        </is>
      </c>
      <c r="C23" t="inlineStr">
        <is>
          <t>texto</t>
        </is>
      </c>
    </row>
    <row r="24">
      <c r="A24" t="inlineStr">
        <is>
          <t>datos.tables.datos_molde.m3.codigo_molde</t>
        </is>
      </c>
      <c r="B24" t="inlineStr">
        <is>
          <t>D22</t>
        </is>
      </c>
      <c r="C24" t="inlineStr">
        <is>
          <t>texto</t>
        </is>
      </c>
    </row>
    <row r="25">
      <c r="A25" t="inlineStr">
        <is>
          <t>datos.tables.datos_molde.m1.altura_cm</t>
        </is>
      </c>
      <c r="B25" t="inlineStr">
        <is>
          <t>B23</t>
        </is>
      </c>
      <c r="C25" t="inlineStr">
        <is>
          <t>numero</t>
        </is>
      </c>
      <c r="D25" t="inlineStr">
        <is>
          <t>0.00</t>
        </is>
      </c>
    </row>
    <row r="26">
      <c r="A26" t="inlineStr">
        <is>
          <t>datos.tables.datos_molde.m2.altura_cm</t>
        </is>
      </c>
      <c r="B26" t="inlineStr">
        <is>
          <t>C23</t>
        </is>
      </c>
      <c r="C26" t="inlineStr">
        <is>
          <t>numero</t>
        </is>
      </c>
      <c r="D26" t="inlineStr">
        <is>
          <t>0.00</t>
        </is>
      </c>
    </row>
    <row r="27">
      <c r="A27" t="inlineStr">
        <is>
          <t>datos.tables.datos_molde.m3.altura_cm</t>
        </is>
      </c>
      <c r="B27" t="inlineStr">
        <is>
          <t>D23</t>
        </is>
      </c>
      <c r="C27" t="inlineStr">
        <is>
          <t>numero</t>
        </is>
      </c>
      <c r="D27" t="inlineStr">
        <is>
          <t>0.00</t>
        </is>
      </c>
    </row>
    <row r="28">
      <c r="A28" t="inlineStr">
        <is>
          <t>datos.tables.datos_molde.m1.diametro_cm</t>
        </is>
      </c>
      <c r="B28" t="inlineStr">
        <is>
          <t>B24</t>
        </is>
      </c>
      <c r="C28" t="inlineStr">
        <is>
          <t>numero</t>
        </is>
      </c>
      <c r="D28" t="inlineStr">
        <is>
          <t>0.00</t>
        </is>
      </c>
    </row>
    <row r="29">
      <c r="A29" t="inlineStr">
        <is>
          <t>datos.tables.datos_molde.m2.diametro_cm</t>
        </is>
      </c>
      <c r="B29" t="inlineStr">
        <is>
          <t>C24</t>
        </is>
      </c>
      <c r="C29" t="inlineStr">
        <is>
          <t>numero</t>
        </is>
      </c>
      <c r="D29" t="inlineStr">
        <is>
          <t>0.00</t>
        </is>
      </c>
    </row>
    <row r="30">
      <c r="A30" t="inlineStr">
        <is>
          <t>datos.tables.datos_molde.m3.diametro_cm</t>
        </is>
      </c>
      <c r="B30" t="inlineStr">
        <is>
          <t>D24</t>
        </is>
      </c>
      <c r="C30" t="inlineStr">
        <is>
          <t>numero</t>
        </is>
      </c>
      <c r="D30" t="inlineStr">
        <is>
          <t>0.00</t>
        </is>
      </c>
    </row>
    <row r="31">
      <c r="A31" t="inlineStr">
        <is>
          <t>datos.tables.compactacion.m1.peso_molde_muestra_compacta</t>
        </is>
      </c>
      <c r="B31" t="inlineStr">
        <is>
          <t>B26</t>
        </is>
      </c>
      <c r="C31" t="inlineStr">
        <is>
          <t>numero</t>
        </is>
      </c>
      <c r="D31" t="inlineStr">
        <is>
          <t>0.00</t>
        </is>
      </c>
    </row>
    <row r="32">
      <c r="A32" t="inlineStr">
        <is>
          <t>datos.tables.compactacion.m2.peso_molde_muestra_compacta</t>
        </is>
      </c>
      <c r="B32" t="inlineStr">
        <is>
          <t>C26</t>
        </is>
      </c>
      <c r="C32" t="inlineStr">
        <is>
          <t>numero</t>
        </is>
      </c>
      <c r="D32" t="inlineStr">
        <is>
          <t>0.00</t>
        </is>
      </c>
    </row>
    <row r="33">
      <c r="A33" t="inlineStr">
        <is>
          <t>datos.tables.compactacion.m3.peso_molde_muestra_compacta</t>
        </is>
      </c>
      <c r="B33" t="inlineStr">
        <is>
          <t>D26</t>
        </is>
      </c>
      <c r="C33" t="inlineStr">
        <is>
          <t>numero</t>
        </is>
      </c>
      <c r="D33" t="inlineStr">
        <is>
          <t>0.00</t>
        </is>
      </c>
    </row>
    <row r="34">
      <c r="A34" t="inlineStr">
        <is>
          <t>datos.tables.compactacion.m1.peso_molde</t>
        </is>
      </c>
      <c r="B34" t="inlineStr">
        <is>
          <t>B27</t>
        </is>
      </c>
      <c r="C34" t="inlineStr">
        <is>
          <t>numero</t>
        </is>
      </c>
      <c r="D34" t="inlineStr">
        <is>
          <t>0.00</t>
        </is>
      </c>
    </row>
    <row r="35">
      <c r="A35" t="inlineStr">
        <is>
          <t>datos.tables.compactacion.m2.peso_molde</t>
        </is>
      </c>
      <c r="B35" t="inlineStr">
        <is>
          <t>C27</t>
        </is>
      </c>
      <c r="C35" t="inlineStr">
        <is>
          <t>numero</t>
        </is>
      </c>
      <c r="D35" t="inlineStr">
        <is>
          <t>0.00</t>
        </is>
      </c>
    </row>
    <row r="36">
      <c r="A36" t="inlineStr">
        <is>
          <t>datos.tables.compactacion.m3.peso_molde</t>
        </is>
      </c>
      <c r="B36" t="inlineStr">
        <is>
          <t>D27</t>
        </is>
      </c>
      <c r="C36" t="inlineStr">
        <is>
          <t>numero</t>
        </is>
      </c>
      <c r="D36" t="inlineStr">
        <is>
          <t>0.00</t>
        </is>
      </c>
    </row>
    <row r="37">
      <c r="A37" t="inlineStr">
        <is>
          <t>datos.tables.capsulas.m1.codigo_capsula</t>
        </is>
      </c>
      <c r="B37" t="inlineStr">
        <is>
          <t>B30</t>
        </is>
      </c>
      <c r="C37" t="inlineStr">
        <is>
          <t>texto</t>
        </is>
      </c>
    </row>
    <row r="38">
      <c r="A38" t="inlineStr">
        <is>
          <t>datos.tables.capsulas.m2.codigo_capsula</t>
        </is>
      </c>
      <c r="B38" t="inlineStr">
        <is>
          <t>C30</t>
        </is>
      </c>
      <c r="C38" t="inlineStr">
        <is>
          <t>texto</t>
        </is>
      </c>
    </row>
    <row r="39">
      <c r="A39" t="inlineStr">
        <is>
          <t>datos.tables.capsulas.m3.codigo_capsula</t>
        </is>
      </c>
      <c r="B39" t="inlineStr">
        <is>
          <t>D30</t>
        </is>
      </c>
      <c r="C39" t="inlineStr">
        <is>
          <t>texto</t>
        </is>
      </c>
    </row>
    <row r="40">
      <c r="A40" t="inlineStr">
        <is>
          <t>datos.tables.capsulas.m1.peso_capsula</t>
        </is>
      </c>
      <c r="B40" t="inlineStr">
        <is>
          <t>B31</t>
        </is>
      </c>
      <c r="C40" t="inlineStr">
        <is>
          <t>numero</t>
        </is>
      </c>
      <c r="D40" t="inlineStr">
        <is>
          <t>0.00</t>
        </is>
      </c>
    </row>
    <row r="41">
      <c r="A41" t="inlineStr">
        <is>
          <t>datos.tables.capsulas.m2.peso_capsula</t>
        </is>
      </c>
      <c r="B41" t="inlineStr">
        <is>
          <t>C31</t>
        </is>
      </c>
      <c r="C41" t="inlineStr">
        <is>
          <t>numero</t>
        </is>
      </c>
      <c r="D41" t="inlineStr">
        <is>
          <t>0.00</t>
        </is>
      </c>
    </row>
    <row r="42">
      <c r="A42" t="inlineStr">
        <is>
          <t>datos.tables.capsulas.m3.peso_capsula</t>
        </is>
      </c>
      <c r="B42" t="inlineStr">
        <is>
          <t>D31</t>
        </is>
      </c>
      <c r="C42" t="inlineStr">
        <is>
          <t>numero</t>
        </is>
      </c>
      <c r="D42" t="inlineStr">
        <is>
          <t>0.00</t>
        </is>
      </c>
    </row>
    <row r="43">
      <c r="A43" t="inlineStr">
        <is>
          <t>datos.tables.capsulas.m1.capsula_suelo_humedo</t>
        </is>
      </c>
      <c r="B43" t="inlineStr">
        <is>
          <t>B32</t>
        </is>
      </c>
      <c r="C43" t="inlineStr">
        <is>
          <t>numero</t>
        </is>
      </c>
      <c r="D43" t="inlineStr">
        <is>
          <t>0.00</t>
        </is>
      </c>
    </row>
    <row r="44">
      <c r="A44" t="inlineStr">
        <is>
          <t>datos.tables.capsulas.m2.capsula_suelo_humedo</t>
        </is>
      </c>
      <c r="B44" t="inlineStr">
        <is>
          <t>C32</t>
        </is>
      </c>
      <c r="C44" t="inlineStr">
        <is>
          <t>numero</t>
        </is>
      </c>
      <c r="D44" t="inlineStr">
        <is>
          <t>0.00</t>
        </is>
      </c>
    </row>
    <row r="45">
      <c r="A45" t="inlineStr">
        <is>
          <t>datos.tables.capsulas.m3.capsula_suelo_humedo</t>
        </is>
      </c>
      <c r="B45" t="inlineStr">
        <is>
          <t>D32</t>
        </is>
      </c>
      <c r="C45" t="inlineStr">
        <is>
          <t>numero</t>
        </is>
      </c>
      <c r="D45" t="inlineStr">
        <is>
          <t>0.00</t>
        </is>
      </c>
    </row>
    <row r="46">
      <c r="A46" t="inlineStr">
        <is>
          <t>datos.tables.capsulas.m1.capsula_suelo_seco</t>
        </is>
      </c>
      <c r="B46" t="inlineStr">
        <is>
          <t>B33</t>
        </is>
      </c>
      <c r="C46" t="inlineStr">
        <is>
          <t>numero</t>
        </is>
      </c>
      <c r="D46" t="inlineStr">
        <is>
          <t>0.00</t>
        </is>
      </c>
    </row>
    <row r="47">
      <c r="A47" t="inlineStr">
        <is>
          <t>datos.tables.capsulas.m2.capsula_suelo_seco</t>
        </is>
      </c>
      <c r="B47" t="inlineStr">
        <is>
          <t>C33</t>
        </is>
      </c>
      <c r="C47" t="inlineStr">
        <is>
          <t>numero</t>
        </is>
      </c>
      <c r="D47" t="inlineStr">
        <is>
          <t>0.00</t>
        </is>
      </c>
    </row>
    <row r="48">
      <c r="A48" t="inlineStr">
        <is>
          <t>datos.tables.capsulas.m3.capsula_suelo_seco</t>
        </is>
      </c>
      <c r="B48" t="inlineStr">
        <is>
          <t>D33</t>
        </is>
      </c>
      <c r="C48" t="inlineStr">
        <is>
          <t>numero</t>
        </is>
      </c>
      <c r="D48" t="inlineStr">
        <is>
          <t>0.00</t>
        </is>
      </c>
    </row>
    <row r="49">
      <c r="A49" t="inlineStr">
        <is>
          <t>datos.tables.absorcion.m1.peso_despues_inmersion</t>
        </is>
      </c>
      <c r="B49" t="inlineStr">
        <is>
          <t>B41</t>
        </is>
      </c>
      <c r="C49" t="inlineStr">
        <is>
          <t>numero</t>
        </is>
      </c>
      <c r="D49" t="inlineStr">
        <is>
          <t>0.00</t>
        </is>
      </c>
    </row>
    <row r="50">
      <c r="A50" t="inlineStr">
        <is>
          <t>datos.tables.absorcion.m2.peso_despues_inmersion</t>
        </is>
      </c>
      <c r="B50" t="inlineStr">
        <is>
          <t>C41</t>
        </is>
      </c>
      <c r="C50" t="inlineStr">
        <is>
          <t>numero</t>
        </is>
      </c>
      <c r="D50" t="inlineStr">
        <is>
          <t>0.00</t>
        </is>
      </c>
    </row>
    <row r="51">
      <c r="A51" t="inlineStr">
        <is>
          <t>datos.tables.absorcion.m3.peso_despues_inmersion</t>
        </is>
      </c>
      <c r="B51" t="inlineStr">
        <is>
          <t>D41</t>
        </is>
      </c>
      <c r="C51" t="inlineStr">
        <is>
          <t>numero</t>
        </is>
      </c>
      <c r="D51" t="inlineStr">
        <is>
          <t>0.00</t>
        </is>
      </c>
    </row>
    <row r="52">
      <c r="A52" t="inlineStr">
        <is>
          <t>datos.tables.expansion.h0.m1_mm</t>
        </is>
      </c>
      <c r="B52" t="inlineStr">
        <is>
          <t>B47</t>
        </is>
      </c>
      <c r="C52" t="inlineStr">
        <is>
          <t>numero</t>
        </is>
      </c>
      <c r="D52" t="inlineStr">
        <is>
          <t>0.00</t>
        </is>
      </c>
    </row>
    <row r="53">
      <c r="A53" t="inlineStr">
        <is>
          <t>datos.tables.expansion.h0.m2_mm</t>
        </is>
      </c>
      <c r="B53" t="inlineStr">
        <is>
          <t>C47</t>
        </is>
      </c>
      <c r="C53" t="inlineStr">
        <is>
          <t>numero</t>
        </is>
      </c>
      <c r="D53" t="inlineStr">
        <is>
          <t>0.00</t>
        </is>
      </c>
    </row>
    <row r="54">
      <c r="A54" t="inlineStr">
        <is>
          <t>datos.tables.expansion.h0.m3_mm</t>
        </is>
      </c>
      <c r="B54" t="inlineStr">
        <is>
          <t>D47</t>
        </is>
      </c>
      <c r="C54" t="inlineStr">
        <is>
          <t>numero</t>
        </is>
      </c>
      <c r="D54" t="inlineStr">
        <is>
          <t>0.00</t>
        </is>
      </c>
    </row>
    <row r="55">
      <c r="A55" t="inlineStr">
        <is>
          <t>datos.tables.expansion.h24.m1_mm</t>
        </is>
      </c>
      <c r="B55" t="inlineStr">
        <is>
          <t>B48</t>
        </is>
      </c>
      <c r="C55" t="inlineStr">
        <is>
          <t>numero</t>
        </is>
      </c>
      <c r="D55" t="inlineStr">
        <is>
          <t>0.00</t>
        </is>
      </c>
    </row>
    <row r="56">
      <c r="A56" t="inlineStr">
        <is>
          <t>datos.tables.expansion.h24.m2_mm</t>
        </is>
      </c>
      <c r="B56" t="inlineStr">
        <is>
          <t>C48</t>
        </is>
      </c>
      <c r="C56" t="inlineStr">
        <is>
          <t>numero</t>
        </is>
      </c>
      <c r="D56" t="inlineStr">
        <is>
          <t>0.00</t>
        </is>
      </c>
    </row>
    <row r="57">
      <c r="A57" t="inlineStr">
        <is>
          <t>datos.tables.expansion.h24.m3_mm</t>
        </is>
      </c>
      <c r="B57" t="inlineStr">
        <is>
          <t>D48</t>
        </is>
      </c>
      <c r="C57" t="inlineStr">
        <is>
          <t>numero</t>
        </is>
      </c>
      <c r="D57" t="inlineStr">
        <is>
          <t>0.00</t>
        </is>
      </c>
    </row>
    <row r="58">
      <c r="A58" t="inlineStr">
        <is>
          <t>datos.tables.expansion.h48.m1_mm</t>
        </is>
      </c>
      <c r="B58" t="inlineStr">
        <is>
          <t>B49</t>
        </is>
      </c>
      <c r="C58" t="inlineStr">
        <is>
          <t>numero</t>
        </is>
      </c>
      <c r="D58" t="inlineStr">
        <is>
          <t>0.00</t>
        </is>
      </c>
    </row>
    <row r="59">
      <c r="A59" t="inlineStr">
        <is>
          <t>datos.tables.expansion.h48.m2_mm</t>
        </is>
      </c>
      <c r="B59" t="inlineStr">
        <is>
          <t>C49</t>
        </is>
      </c>
      <c r="C59" t="inlineStr">
        <is>
          <t>numero</t>
        </is>
      </c>
      <c r="D59" t="inlineStr">
        <is>
          <t>0.00</t>
        </is>
      </c>
    </row>
    <row r="60">
      <c r="A60" t="inlineStr">
        <is>
          <t>datos.tables.expansion.h48.m3_mm</t>
        </is>
      </c>
      <c r="B60" t="inlineStr">
        <is>
          <t>D49</t>
        </is>
      </c>
      <c r="C60" t="inlineStr">
        <is>
          <t>numero</t>
        </is>
      </c>
      <c r="D60" t="inlineStr">
        <is>
          <t>0.00</t>
        </is>
      </c>
    </row>
    <row r="61">
      <c r="A61" t="inlineStr">
        <is>
          <t>datos.tables.expansion.h72.m1_mm</t>
        </is>
      </c>
      <c r="B61" t="inlineStr">
        <is>
          <t>B50</t>
        </is>
      </c>
      <c r="C61" t="inlineStr">
        <is>
          <t>numero</t>
        </is>
      </c>
      <c r="D61" t="inlineStr">
        <is>
          <t>0.00</t>
        </is>
      </c>
    </row>
    <row r="62">
      <c r="A62" t="inlineStr">
        <is>
          <t>datos.tables.expansion.h72.m2_mm</t>
        </is>
      </c>
      <c r="B62" t="inlineStr">
        <is>
          <t>C50</t>
        </is>
      </c>
      <c r="C62" t="inlineStr">
        <is>
          <t>numero</t>
        </is>
      </c>
      <c r="D62" t="inlineStr">
        <is>
          <t>0.00</t>
        </is>
      </c>
    </row>
    <row r="63">
      <c r="A63" t="inlineStr">
        <is>
          <t>datos.tables.expansion.h72.m3_mm</t>
        </is>
      </c>
      <c r="B63" t="inlineStr">
        <is>
          <t>D50</t>
        </is>
      </c>
      <c r="C63" t="inlineStr">
        <is>
          <t>numero</t>
        </is>
      </c>
      <c r="D63" t="inlineStr">
        <is>
          <t>0.00</t>
        </is>
      </c>
    </row>
    <row r="64">
      <c r="A64" t="inlineStr">
        <is>
          <t>datos.tables.expansion.h96.m1_mm</t>
        </is>
      </c>
      <c r="B64" t="inlineStr">
        <is>
          <t>B51</t>
        </is>
      </c>
      <c r="C64" t="inlineStr">
        <is>
          <t>numero</t>
        </is>
      </c>
      <c r="D64" t="inlineStr">
        <is>
          <t>0.00</t>
        </is>
      </c>
    </row>
    <row r="65">
      <c r="A65" t="inlineStr">
        <is>
          <t>datos.tables.expansion.h96.m2_mm</t>
        </is>
      </c>
      <c r="B65" t="inlineStr">
        <is>
          <t>C51</t>
        </is>
      </c>
      <c r="C65" t="inlineStr">
        <is>
          <t>numero</t>
        </is>
      </c>
      <c r="D65" t="inlineStr">
        <is>
          <t>0.00</t>
        </is>
      </c>
    </row>
    <row r="66">
      <c r="A66" t="inlineStr">
        <is>
          <t>datos.tables.expansion.h96.m3_mm</t>
        </is>
      </c>
      <c r="B66" t="inlineStr">
        <is>
          <t>D51</t>
        </is>
      </c>
      <c r="C66" t="inlineStr">
        <is>
          <t>numero</t>
        </is>
      </c>
      <c r="D66" t="inlineStr">
        <is>
          <t>0.00</t>
        </is>
      </c>
    </row>
    <row r="67">
      <c r="A67" t="inlineStr">
        <is>
          <t>datos.tables.penetracion.p1.m1_dial</t>
        </is>
      </c>
      <c r="B67" t="inlineStr">
        <is>
          <t>D55</t>
        </is>
      </c>
      <c r="C67" t="inlineStr">
        <is>
          <t>numero</t>
        </is>
      </c>
      <c r="D67" t="inlineStr">
        <is>
          <t>0.00</t>
        </is>
      </c>
    </row>
    <row r="68">
      <c r="A68" t="inlineStr">
        <is>
          <t>datos.tables.penetracion.p1.m2_dial</t>
        </is>
      </c>
      <c r="B68" t="inlineStr">
        <is>
          <t>F55</t>
        </is>
      </c>
      <c r="C68" t="inlineStr">
        <is>
          <t>numero</t>
        </is>
      </c>
      <c r="D68" t="inlineStr">
        <is>
          <t>0.00</t>
        </is>
      </c>
    </row>
    <row r="69">
      <c r="A69" t="inlineStr">
        <is>
          <t>datos.tables.penetracion.p1.m3_dial</t>
        </is>
      </c>
      <c r="B69" t="inlineStr">
        <is>
          <t>H55</t>
        </is>
      </c>
      <c r="C69" t="inlineStr">
        <is>
          <t>numero</t>
        </is>
      </c>
      <c r="D69" t="inlineStr">
        <is>
          <t>0.00</t>
        </is>
      </c>
    </row>
    <row r="70">
      <c r="A70" t="inlineStr">
        <is>
          <t>datos.tables.penetracion.p2.m1_dial</t>
        </is>
      </c>
      <c r="B70" t="inlineStr">
        <is>
          <t>D56</t>
        </is>
      </c>
      <c r="C70" t="inlineStr">
        <is>
          <t>numero</t>
        </is>
      </c>
      <c r="D70" t="inlineStr">
        <is>
          <t>0.00</t>
        </is>
      </c>
    </row>
    <row r="71">
      <c r="A71" t="inlineStr">
        <is>
          <t>datos.tables.penetracion.p2.m2_dial</t>
        </is>
      </c>
      <c r="B71" t="inlineStr">
        <is>
          <t>F56</t>
        </is>
      </c>
      <c r="C71" t="inlineStr">
        <is>
          <t>numero</t>
        </is>
      </c>
      <c r="D71" t="inlineStr">
        <is>
          <t>0.00</t>
        </is>
      </c>
    </row>
    <row r="72">
      <c r="A72" t="inlineStr">
        <is>
          <t>datos.tables.penetracion.p2.m3_dial</t>
        </is>
      </c>
      <c r="B72" t="inlineStr">
        <is>
          <t>H56</t>
        </is>
      </c>
      <c r="C72" t="inlineStr">
        <is>
          <t>numero</t>
        </is>
      </c>
      <c r="D72" t="inlineStr">
        <is>
          <t>0.00</t>
        </is>
      </c>
    </row>
    <row r="73">
      <c r="A73" t="inlineStr">
        <is>
          <t>datos.tables.penetracion.p3.m1_dial</t>
        </is>
      </c>
      <c r="B73" t="inlineStr">
        <is>
          <t>D57</t>
        </is>
      </c>
      <c r="C73" t="inlineStr">
        <is>
          <t>numero</t>
        </is>
      </c>
      <c r="D73" t="inlineStr">
        <is>
          <t>0.00</t>
        </is>
      </c>
    </row>
    <row r="74">
      <c r="A74" t="inlineStr">
        <is>
          <t>datos.tables.penetracion.p3.m2_dial</t>
        </is>
      </c>
      <c r="B74" t="inlineStr">
        <is>
          <t>F57</t>
        </is>
      </c>
      <c r="C74" t="inlineStr">
        <is>
          <t>numero</t>
        </is>
      </c>
      <c r="D74" t="inlineStr">
        <is>
          <t>0.00</t>
        </is>
      </c>
    </row>
    <row r="75">
      <c r="A75" t="inlineStr">
        <is>
          <t>datos.tables.penetracion.p3.m3_dial</t>
        </is>
      </c>
      <c r="B75" t="inlineStr">
        <is>
          <t>H57</t>
        </is>
      </c>
      <c r="C75" t="inlineStr">
        <is>
          <t>numero</t>
        </is>
      </c>
      <c r="D75" t="inlineStr">
        <is>
          <t>0.00</t>
        </is>
      </c>
    </row>
    <row r="76">
      <c r="A76" t="inlineStr">
        <is>
          <t>datos.tables.penetracion.p4.m1_dial</t>
        </is>
      </c>
      <c r="B76" t="inlineStr">
        <is>
          <t>D58</t>
        </is>
      </c>
      <c r="C76" t="inlineStr">
        <is>
          <t>numero</t>
        </is>
      </c>
      <c r="D76" t="inlineStr">
        <is>
          <t>0.00</t>
        </is>
      </c>
    </row>
    <row r="77">
      <c r="A77" t="inlineStr">
        <is>
          <t>datos.tables.penetracion.p4.m2_dial</t>
        </is>
      </c>
      <c r="B77" t="inlineStr">
        <is>
          <t>F58</t>
        </is>
      </c>
      <c r="C77" t="inlineStr">
        <is>
          <t>numero</t>
        </is>
      </c>
      <c r="D77" t="inlineStr">
        <is>
          <t>0.00</t>
        </is>
      </c>
    </row>
    <row r="78">
      <c r="A78" t="inlineStr">
        <is>
          <t>datos.tables.penetracion.p4.m3_dial</t>
        </is>
      </c>
      <c r="B78" t="inlineStr">
        <is>
          <t>H58</t>
        </is>
      </c>
      <c r="C78" t="inlineStr">
        <is>
          <t>numero</t>
        </is>
      </c>
      <c r="D78" t="inlineStr">
        <is>
          <t>0.00</t>
        </is>
      </c>
    </row>
    <row r="79">
      <c r="A79" t="inlineStr">
        <is>
          <t>datos.tables.penetracion.p5.m1_dial</t>
        </is>
      </c>
      <c r="B79" t="inlineStr">
        <is>
          <t>D59</t>
        </is>
      </c>
      <c r="C79" t="inlineStr">
        <is>
          <t>numero</t>
        </is>
      </c>
      <c r="D79" t="inlineStr">
        <is>
          <t>0.00</t>
        </is>
      </c>
    </row>
    <row r="80">
      <c r="A80" t="inlineStr">
        <is>
          <t>datos.tables.penetracion.p5.m2_dial</t>
        </is>
      </c>
      <c r="B80" t="inlineStr">
        <is>
          <t>F59</t>
        </is>
      </c>
      <c r="C80" t="inlineStr">
        <is>
          <t>numero</t>
        </is>
      </c>
      <c r="D80" t="inlineStr">
        <is>
          <t>0.00</t>
        </is>
      </c>
    </row>
    <row r="81">
      <c r="A81" t="inlineStr">
        <is>
          <t>datos.tables.penetracion.p5.m3_dial</t>
        </is>
      </c>
      <c r="B81" t="inlineStr">
        <is>
          <t>H59</t>
        </is>
      </c>
      <c r="C81" t="inlineStr">
        <is>
          <t>numero</t>
        </is>
      </c>
      <c r="D81" t="inlineStr">
        <is>
          <t>0.00</t>
        </is>
      </c>
    </row>
    <row r="82">
      <c r="A82" t="inlineStr">
        <is>
          <t>datos.tables.penetracion.p6.m1_dial</t>
        </is>
      </c>
      <c r="B82" t="inlineStr">
        <is>
          <t>D60</t>
        </is>
      </c>
      <c r="C82" t="inlineStr">
        <is>
          <t>numero</t>
        </is>
      </c>
      <c r="D82" t="inlineStr">
        <is>
          <t>0.00</t>
        </is>
      </c>
    </row>
    <row r="83">
      <c r="A83" t="inlineStr">
        <is>
          <t>datos.tables.penetracion.p6.m2_dial</t>
        </is>
      </c>
      <c r="B83" t="inlineStr">
        <is>
          <t>F60</t>
        </is>
      </c>
      <c r="C83" t="inlineStr">
        <is>
          <t>numero</t>
        </is>
      </c>
      <c r="D83" t="inlineStr">
        <is>
          <t>0.00</t>
        </is>
      </c>
    </row>
    <row r="84">
      <c r="A84" t="inlineStr">
        <is>
          <t>datos.tables.penetracion.p6.m3_dial</t>
        </is>
      </c>
      <c r="B84" t="inlineStr">
        <is>
          <t>H60</t>
        </is>
      </c>
      <c r="C84" t="inlineStr">
        <is>
          <t>numero</t>
        </is>
      </c>
      <c r="D84" t="inlineStr">
        <is>
          <t>0.00</t>
        </is>
      </c>
    </row>
    <row r="85">
      <c r="A85" t="inlineStr">
        <is>
          <t>datos.tables.penetracion.p7.m1_dial</t>
        </is>
      </c>
      <c r="B85" t="inlineStr">
        <is>
          <t>D61</t>
        </is>
      </c>
      <c r="C85" t="inlineStr">
        <is>
          <t>numero</t>
        </is>
      </c>
      <c r="D85" t="inlineStr">
        <is>
          <t>0.00</t>
        </is>
      </c>
    </row>
    <row r="86">
      <c r="A86" t="inlineStr">
        <is>
          <t>datos.tables.penetracion.p7.m2_dial</t>
        </is>
      </c>
      <c r="B86" t="inlineStr">
        <is>
          <t>F61</t>
        </is>
      </c>
      <c r="C86" t="inlineStr">
        <is>
          <t>numero</t>
        </is>
      </c>
      <c r="D86" t="inlineStr">
        <is>
          <t>0.00</t>
        </is>
      </c>
    </row>
    <row r="87">
      <c r="A87" t="inlineStr">
        <is>
          <t>datos.tables.penetracion.p7.m3_dial</t>
        </is>
      </c>
      <c r="B87" t="inlineStr">
        <is>
          <t>H61</t>
        </is>
      </c>
      <c r="C87" t="inlineStr">
        <is>
          <t>numero</t>
        </is>
      </c>
      <c r="D87" t="inlineStr">
        <is>
          <t>0.00</t>
        </is>
      </c>
    </row>
    <row r="88">
      <c r="A88" t="inlineStr">
        <is>
          <t>datos.tables.penetracion.p8.m1_dial</t>
        </is>
      </c>
      <c r="B88" t="inlineStr">
        <is>
          <t>D62</t>
        </is>
      </c>
      <c r="C88" t="inlineStr">
        <is>
          <t>numero</t>
        </is>
      </c>
      <c r="D88" t="inlineStr">
        <is>
          <t>0.00</t>
        </is>
      </c>
    </row>
    <row r="89">
      <c r="A89" t="inlineStr">
        <is>
          <t>datos.tables.penetracion.p8.m2_dial</t>
        </is>
      </c>
      <c r="B89" t="inlineStr">
        <is>
          <t>F62</t>
        </is>
      </c>
      <c r="C89" t="inlineStr">
        <is>
          <t>numero</t>
        </is>
      </c>
      <c r="D89" t="inlineStr">
        <is>
          <t>0.00</t>
        </is>
      </c>
    </row>
    <row r="90">
      <c r="A90" t="inlineStr">
        <is>
          <t>datos.tables.penetracion.p8.m3_dial</t>
        </is>
      </c>
      <c r="B90" t="inlineStr">
        <is>
          <t>H62</t>
        </is>
      </c>
      <c r="C90" t="inlineStr">
        <is>
          <t>numero</t>
        </is>
      </c>
      <c r="D90" t="inlineStr">
        <is>
          <t>0.00</t>
        </is>
      </c>
    </row>
    <row r="91">
      <c r="A91" t="inlineStr">
        <is>
          <t>datos.tables.penetracion.p9.m1_dial</t>
        </is>
      </c>
      <c r="B91" t="inlineStr">
        <is>
          <t>D63</t>
        </is>
      </c>
      <c r="C91" t="inlineStr">
        <is>
          <t>numero</t>
        </is>
      </c>
      <c r="D91" t="inlineStr">
        <is>
          <t>0.00</t>
        </is>
      </c>
    </row>
    <row r="92">
      <c r="A92" t="inlineStr">
        <is>
          <t>datos.tables.penetracion.p9.m2_dial</t>
        </is>
      </c>
      <c r="B92" t="inlineStr">
        <is>
          <t>F63</t>
        </is>
      </c>
      <c r="C92" t="inlineStr">
        <is>
          <t>numero</t>
        </is>
      </c>
      <c r="D92" t="inlineStr">
        <is>
          <t>0.00</t>
        </is>
      </c>
    </row>
    <row r="93">
      <c r="A93" t="inlineStr">
        <is>
          <t>datos.tables.penetracion.p9.m3_dial</t>
        </is>
      </c>
      <c r="B93" t="inlineStr">
        <is>
          <t>H63</t>
        </is>
      </c>
      <c r="C93" t="inlineStr">
        <is>
          <t>numero</t>
        </is>
      </c>
      <c r="D9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2026-09-15T16:10:06Z</dcterms:created>
  <dcterms:modified xmlns:dcterms="http://purl.org/dc/terms/" xmlns:xsi="http://www.w3.org/2001/XMLSchema-instance" xsi:type="dcterms:W3CDTF">2026-09-15T16:10:06Z</dcterms:modified>
</cp:coreProperties>
</file>